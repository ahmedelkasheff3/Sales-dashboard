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esktop\"/>
    </mc:Choice>
  </mc:AlternateContent>
  <bookViews>
    <workbookView xWindow="0" yWindow="0" windowWidth="24000" windowHeight="9630"/>
  </bookViews>
  <sheets>
    <sheet name="Problem" sheetId="1" r:id="rId1"/>
    <sheet name="Sheet2" sheetId="2" r:id="rId2"/>
    <sheet name="Dashboard (2)" sheetId="7" r:id="rId3"/>
  </sheets>
  <definedNames>
    <definedName name="_xlnm._FilterDatabase" localSheetId="0" hidden="1">Problem!$A$3:$J$217</definedName>
    <definedName name="Slicer_Category">#N/A</definedName>
    <definedName name="Slicer_Country">#N/A</definedName>
    <definedName name="Slicer_Product">#N/A</definedName>
    <definedName name="Slicer_Quarter">#N/A</definedName>
    <definedName name="Slicer_Yea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9" i="7" l="1"/>
  <c r="X8" i="7"/>
</calcChain>
</file>

<file path=xl/sharedStrings.xml><?xml version="1.0" encoding="utf-8"?>
<sst xmlns="http://schemas.openxmlformats.org/spreadsheetml/2006/main" count="1369" uniqueCount="79">
  <si>
    <t xml:space="preserve">Piviot Table Practice Exercises </t>
  </si>
  <si>
    <t>Order ID</t>
  </si>
  <si>
    <t>Date</t>
  </si>
  <si>
    <t>Product</t>
  </si>
  <si>
    <t>Category</t>
  </si>
  <si>
    <t>Country</t>
  </si>
  <si>
    <t>Region</t>
  </si>
  <si>
    <t>Month</t>
  </si>
  <si>
    <t>Year</t>
  </si>
  <si>
    <t>Quarter</t>
  </si>
  <si>
    <t>Amount</t>
  </si>
  <si>
    <t>Carrots</t>
  </si>
  <si>
    <t>Vegetables</t>
  </si>
  <si>
    <t>US</t>
  </si>
  <si>
    <t>South</t>
  </si>
  <si>
    <t>July</t>
  </si>
  <si>
    <t>Q3</t>
  </si>
  <si>
    <t>Data Cleaning</t>
  </si>
  <si>
    <t>Broccoli</t>
  </si>
  <si>
    <t>UK</t>
  </si>
  <si>
    <t>East</t>
  </si>
  <si>
    <t>Cleansing</t>
  </si>
  <si>
    <t>Banana</t>
  </si>
  <si>
    <t>Fruit</t>
  </si>
  <si>
    <t>Data Pre</t>
  </si>
  <si>
    <t>Canada</t>
  </si>
  <si>
    <t>North</t>
  </si>
  <si>
    <t>August</t>
  </si>
  <si>
    <t>Beans</t>
  </si>
  <si>
    <t>Germany</t>
  </si>
  <si>
    <t>West</t>
  </si>
  <si>
    <t>Orange</t>
  </si>
  <si>
    <t>Australia</t>
  </si>
  <si>
    <t>New Zealand</t>
  </si>
  <si>
    <t>September</t>
  </si>
  <si>
    <t>Apple</t>
  </si>
  <si>
    <t>France</t>
  </si>
  <si>
    <t>October</t>
  </si>
  <si>
    <t>Q4</t>
  </si>
  <si>
    <t>November</t>
  </si>
  <si>
    <t>December</t>
  </si>
  <si>
    <t>January</t>
  </si>
  <si>
    <t>Q1</t>
  </si>
  <si>
    <t>Mango</t>
  </si>
  <si>
    <t>February</t>
  </si>
  <si>
    <t>March</t>
  </si>
  <si>
    <t>April</t>
  </si>
  <si>
    <t>May</t>
  </si>
  <si>
    <t>Q2</t>
  </si>
  <si>
    <t>June</t>
  </si>
  <si>
    <t>Sept ember</t>
  </si>
  <si>
    <t>EGY</t>
  </si>
  <si>
    <t xml:space="preserve"> </t>
  </si>
  <si>
    <t>Grand Total</t>
  </si>
  <si>
    <t>Sum of Amount</t>
  </si>
  <si>
    <t>% of Amount2</t>
  </si>
  <si>
    <t>(All)</t>
  </si>
  <si>
    <t>Sum of Tax</t>
  </si>
  <si>
    <t>Count of Order ID</t>
  </si>
  <si>
    <t>T SALES</t>
  </si>
  <si>
    <t>AVERAGE SALES</t>
  </si>
  <si>
    <t>No. sales</t>
  </si>
  <si>
    <t>Average of Amount</t>
  </si>
  <si>
    <t>Qtr3</t>
  </si>
  <si>
    <t>Aug</t>
  </si>
  <si>
    <t>Qtr1</t>
  </si>
  <si>
    <t>Jan</t>
  </si>
  <si>
    <t>Feb</t>
  </si>
  <si>
    <t>Qtr2</t>
  </si>
  <si>
    <t>Apr</t>
  </si>
  <si>
    <t>Jun</t>
  </si>
  <si>
    <t>Jul</t>
  </si>
  <si>
    <t>Sep</t>
  </si>
  <si>
    <t>Qtr4</t>
  </si>
  <si>
    <t>Oct</t>
  </si>
  <si>
    <t>Nov</t>
  </si>
  <si>
    <t>Mar</t>
  </si>
  <si>
    <t>Dec</t>
  </si>
  <si>
    <t>Sum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</si>
</sst>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8" formatCode="&quot;$&quot;#,##0.00_);[Red]\(&quot;$&quot;#,##0.00\)"/>
    <numFmt numFmtId="44" formatCode="_(&quot;$&quot;* #,##0.00_);_(&quot;$&quot;* \(#,##0.00\);_(&quot;$&quot;* &quot;-&quot;??_);_(@_)"/>
    <numFmt numFmtId="43" formatCode="_(* #,##0.00_);_(* \(#,##0.00\);_(* &quot;-&quot;??_);_(@_)"/>
    <numFmt numFmtId="164" formatCode="&quot;$&quot;#,##0"/>
    <numFmt numFmtId="165" formatCode="_(* #,##0_);_(* \(#,##0\);_(* &quot;-&quot;??_);_(@_)"/>
    <numFmt numFmtId="166" formatCode="[$-F400]h:mm:ss\ AM/PM"/>
  </numFmts>
  <fonts count="3" x14ac:knownFonts="1">
    <font>
      <sz val="11"/>
      <color theme="1"/>
      <name val="Calibri"/>
      <family val="2"/>
      <scheme val="minor"/>
    </font>
    <font>
      <b/>
      <sz val="13"/>
      <color theme="3"/>
      <name val="Calibri"/>
      <family val="2"/>
      <scheme val="minor"/>
    </font>
    <font>
      <sz val="18"/>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0" tint="-0.249977111117893"/>
        <bgColor indexed="64"/>
      </patternFill>
    </fill>
    <fill>
      <patternFill patternType="solid">
        <fgColor theme="0"/>
        <bgColor indexed="64"/>
      </patternFill>
    </fill>
  </fills>
  <borders count="11">
    <border>
      <left/>
      <right/>
      <top/>
      <bottom/>
      <diagonal/>
    </border>
    <border>
      <left/>
      <right/>
      <top/>
      <bottom style="thick">
        <color theme="4" tint="0.499984740745262"/>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1" applyNumberFormat="0" applyFill="0" applyAlignment="0" applyProtection="0"/>
  </cellStyleXfs>
  <cellXfs count="29">
    <xf numFmtId="0" fontId="0" fillId="0" borderId="0" xfId="0"/>
    <xf numFmtId="14" fontId="0" fillId="0" borderId="0" xfId="0" applyNumberFormat="1"/>
    <xf numFmtId="0" fontId="0" fillId="0" borderId="2" xfId="0"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8" fontId="0" fillId="0" borderId="6" xfId="0" applyNumberFormat="1" applyBorder="1" applyAlignment="1">
      <alignment horizontal="center" vertical="center"/>
    </xf>
    <xf numFmtId="164" fontId="0" fillId="0" borderId="7" xfId="0" applyNumberFormat="1"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43" fontId="0" fillId="0" borderId="0" xfId="0" applyNumberFormat="1"/>
    <xf numFmtId="164" fontId="0" fillId="0" borderId="0" xfId="0" applyNumberFormat="1"/>
    <xf numFmtId="14" fontId="0" fillId="0" borderId="0" xfId="0" applyNumberFormat="1" applyAlignment="1">
      <alignment horizontal="left"/>
    </xf>
    <xf numFmtId="165" fontId="0" fillId="0" borderId="0" xfId="0" applyNumberFormat="1"/>
    <xf numFmtId="44" fontId="0" fillId="0" borderId="0" xfId="0" applyNumberFormat="1"/>
    <xf numFmtId="0" fontId="0" fillId="3" borderId="0" xfId="0" applyFill="1"/>
    <xf numFmtId="0" fontId="0" fillId="4" borderId="0" xfId="0" applyFill="1"/>
    <xf numFmtId="0" fontId="1" fillId="2" borderId="1" xfId="1" applyFill="1" applyAlignment="1">
      <alignment horizontal="center" vertical="center"/>
    </xf>
    <xf numFmtId="14" fontId="2" fillId="4" borderId="0" xfId="0" applyNumberFormat="1" applyFont="1" applyFill="1" applyAlignment="1">
      <alignment horizontal="center"/>
    </xf>
    <xf numFmtId="166" fontId="2" fillId="4" borderId="0" xfId="0" applyNumberFormat="1" applyFont="1" applyFill="1" applyAlignment="1">
      <alignment horizontal="center"/>
    </xf>
  </cellXfs>
  <cellStyles count="2">
    <cellStyle name="Heading 2" xfId="1" builtinId="17"/>
    <cellStyle name="Normal" xfId="0" builtinId="0"/>
  </cellStyles>
  <dxfs count="48">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74" formatCode="_(* #,##0.0_);_(* \(#,##0.0\);_(* &quot;-&quot;??_);_(@_)"/>
    </dxf>
    <dxf>
      <numFmt numFmtId="35" formatCode="_(* #,##0.00_);_(* \(#,##0.00\);_(* &quot;-&quot;??_);_(@_)"/>
    </dxf>
    <dxf>
      <numFmt numFmtId="173" formatCode="_(* #,##0.000_);_(* \(#,##0.000\);_(* &quot;-&quot;??_);_(@_)"/>
    </dxf>
    <dxf>
      <numFmt numFmtId="35" formatCode="_(* #,##0.00_);_(* \(#,##0.00\);_(* &quot;-&quot;??_);_(@_)"/>
    </dxf>
    <dxf>
      <numFmt numFmtId="2" formatCode="0.00"/>
    </dxf>
    <dxf>
      <numFmt numFmtId="172" formatCode="0.000"/>
    </dxf>
    <dxf>
      <numFmt numFmtId="171" formatCode="0.0000"/>
    </dxf>
    <dxf>
      <numFmt numFmtId="170" formatCode="0.00000"/>
    </dxf>
    <dxf>
      <numFmt numFmtId="169" formatCode="0.000000"/>
    </dxf>
    <dxf>
      <numFmt numFmtId="167" formatCode="0.0000000"/>
    </dxf>
    <dxf>
      <numFmt numFmtId="168" formatCode="0.00000000"/>
    </dxf>
    <dxf>
      <numFmt numFmtId="167" formatCode="0.0000000"/>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scheme val="minor"/>
      </font>
      <numFmt numFmtId="164" formatCode="&quot;$&quot;#,##0"/>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numFmt numFmtId="164" formatCode="&quot;$&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7AB2B2"/>
      <color rgb="FF09637E"/>
      <color rgb="FFEBF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[Assignment-3-Dashboard.xlsx]Sheet2!# order for region</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solidFill>
                  <a:sysClr val="windowText" lastClr="000000"/>
                </a:solidFill>
              </a:rPr>
              <a:t># Order for EA regionl</a:t>
            </a:r>
          </a:p>
        </c:rich>
      </c:tx>
      <c:layout>
        <c:manualLayout>
          <c:xMode val="edge"/>
          <c:yMode val="edge"/>
          <c:x val="0.58755389048232831"/>
          <c:y val="6.54050715446888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27"/>
      </c:pivotFmt>
      <c:pivotFmt>
        <c:idx val="228"/>
      </c:pivotFmt>
      <c:pivotFmt>
        <c:idx val="229"/>
      </c:pivotFmt>
      <c:pivotFmt>
        <c:idx val="230"/>
      </c:pivotFmt>
      <c:pivotFmt>
        <c:idx val="23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32"/>
      </c:pivotFmt>
      <c:pivotFmt>
        <c:idx val="233"/>
      </c:pivotFmt>
      <c:pivotFmt>
        <c:idx val="234"/>
      </c:pivotFmt>
      <c:pivotFmt>
        <c:idx val="235"/>
      </c:pivotFmt>
      <c:pivotFmt>
        <c:idx val="23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37"/>
      </c:pivotFmt>
      <c:pivotFmt>
        <c:idx val="238"/>
      </c:pivotFmt>
      <c:pivotFmt>
        <c:idx val="239"/>
      </c:pivotFmt>
      <c:pivotFmt>
        <c:idx val="240"/>
      </c:pivotFmt>
      <c:pivotFmt>
        <c:idx val="24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42"/>
      </c:pivotFmt>
      <c:pivotFmt>
        <c:idx val="243"/>
      </c:pivotFmt>
      <c:pivotFmt>
        <c:idx val="244"/>
      </c:pivotFmt>
      <c:pivotFmt>
        <c:idx val="245"/>
      </c:pivotFmt>
      <c:pivotFmt>
        <c:idx val="24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ext>
          </c:extLst>
        </c:dLbl>
      </c:pivotFmt>
      <c:pivotFmt>
        <c:idx val="247"/>
        <c:spPr>
          <a:solidFill>
            <a:schemeClr val="accent1"/>
          </a:solidFill>
          <a:ln>
            <a:noFill/>
          </a:ln>
          <a:effectLst>
            <a:outerShdw blurRad="254000" sx="102000" sy="102000" algn="ctr" rotWithShape="0">
              <a:prstClr val="black">
                <a:alpha val="20000"/>
              </a:prstClr>
            </a:outerShdw>
          </a:effectLst>
        </c:spPr>
      </c:pivotFmt>
      <c:pivotFmt>
        <c:idx val="248"/>
        <c:spPr>
          <a:solidFill>
            <a:schemeClr val="accent1"/>
          </a:solidFill>
          <a:ln>
            <a:noFill/>
          </a:ln>
          <a:effectLst>
            <a:outerShdw blurRad="254000" sx="102000" sy="102000" algn="ctr" rotWithShape="0">
              <a:prstClr val="black">
                <a:alpha val="20000"/>
              </a:prstClr>
            </a:outerShdw>
          </a:effectLst>
        </c:spPr>
      </c:pivotFmt>
      <c:pivotFmt>
        <c:idx val="249"/>
        <c:spPr>
          <a:solidFill>
            <a:schemeClr val="accent1"/>
          </a:solidFill>
          <a:ln>
            <a:noFill/>
          </a:ln>
          <a:effectLst>
            <a:outerShdw blurRad="254000" sx="102000" sy="102000" algn="ctr" rotWithShape="0">
              <a:prstClr val="black">
                <a:alpha val="20000"/>
              </a:prstClr>
            </a:outerShdw>
          </a:effectLst>
        </c:spPr>
      </c:pivotFmt>
      <c:pivotFmt>
        <c:idx val="25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Sheet2!$N$4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8C-4921-A667-0A514276925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8C-4921-A667-0A514276925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98C-4921-A667-0A514276925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98C-4921-A667-0A514276925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Sheet2!$M$5:$M$9</c:f>
              <c:strCache>
                <c:ptCount val="4"/>
                <c:pt idx="0">
                  <c:v>East</c:v>
                </c:pt>
                <c:pt idx="1">
                  <c:v>North</c:v>
                </c:pt>
                <c:pt idx="2">
                  <c:v>South</c:v>
                </c:pt>
                <c:pt idx="3">
                  <c:v>West</c:v>
                </c:pt>
              </c:strCache>
            </c:strRef>
          </c:cat>
          <c:val>
            <c:numRef>
              <c:f>Sheet2!$N$5:$N$9</c:f>
              <c:numCache>
                <c:formatCode>General</c:formatCode>
                <c:ptCount val="4"/>
                <c:pt idx="0">
                  <c:v>2561</c:v>
                </c:pt>
                <c:pt idx="1">
                  <c:v>6898</c:v>
                </c:pt>
                <c:pt idx="2">
                  <c:v>10278</c:v>
                </c:pt>
                <c:pt idx="3">
                  <c:v>3268</c:v>
                </c:pt>
              </c:numCache>
            </c:numRef>
          </c:val>
          <c:extLst>
            <c:ext xmlns:c16="http://schemas.microsoft.com/office/drawing/2014/chart" uri="{C3380CC4-5D6E-409C-BE32-E72D297353CC}">
              <c16:uniqueId val="{00000008-398C-4921-A667-0A514276925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7124664162425658"/>
          <c:y val="0.55620316805647374"/>
          <c:w val="8.5997526160402321E-2"/>
          <c:h val="0.279881704972222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rgbClr val="7AB2B2">
            <a:shade val="30000"/>
            <a:satMod val="115000"/>
          </a:srgbClr>
        </a:gs>
        <a:gs pos="50000">
          <a:srgbClr val="7AB2B2">
            <a:shade val="67500"/>
            <a:satMod val="115000"/>
          </a:srgbClr>
        </a:gs>
        <a:gs pos="100000">
          <a:srgbClr val="7AB2B2">
            <a:shade val="100000"/>
            <a:satMod val="115000"/>
          </a:srgbClr>
        </a:gs>
      </a:gsLst>
      <a:lin ang="162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[Assignment-3-Dashboard.xlsx]Sheet2!Total sales for EA country</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sales for EA country by category</a:t>
            </a:r>
          </a:p>
        </c:rich>
      </c:tx>
      <c:layout>
        <c:manualLayout>
          <c:xMode val="edge"/>
          <c:yMode val="edge"/>
          <c:x val="0.68071457646623146"/>
          <c:y val="2.928128654421151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44546A">
              <a:lumMod val="75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6311142428256974E-2"/>
          <c:y val="0.10983382209188662"/>
          <c:w val="0.83613013071555053"/>
          <c:h val="0.71761054794836843"/>
        </c:manualLayout>
      </c:layout>
      <c:barChart>
        <c:barDir val="col"/>
        <c:grouping val="clustered"/>
        <c:varyColors val="0"/>
        <c:ser>
          <c:idx val="0"/>
          <c:order val="0"/>
          <c:tx>
            <c:strRef>
              <c:f>Sheet2!$B$17</c:f>
              <c:strCache>
                <c:ptCount val="1"/>
                <c:pt idx="0">
                  <c:v>Total</c:v>
                </c:pt>
              </c:strCache>
            </c:strRef>
          </c:tx>
          <c:spPr>
            <a:solidFill>
              <a:srgbClr val="44546A">
                <a:lumMod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Sheet2!$A$18:$A$26</c:f>
              <c:strCache>
                <c:ptCount val="8"/>
                <c:pt idx="0">
                  <c:v>Australia</c:v>
                </c:pt>
                <c:pt idx="1">
                  <c:v>Canada</c:v>
                </c:pt>
                <c:pt idx="2">
                  <c:v>EGY</c:v>
                </c:pt>
                <c:pt idx="3">
                  <c:v>France</c:v>
                </c:pt>
                <c:pt idx="4">
                  <c:v>Germany</c:v>
                </c:pt>
                <c:pt idx="5">
                  <c:v>New Zealand</c:v>
                </c:pt>
                <c:pt idx="6">
                  <c:v>UK</c:v>
                </c:pt>
                <c:pt idx="7">
                  <c:v>US</c:v>
                </c:pt>
              </c:strCache>
            </c:strRef>
          </c:cat>
          <c:val>
            <c:numRef>
              <c:f>Sheet2!$B$18:$B$26</c:f>
              <c:numCache>
                <c:formatCode>General</c:formatCode>
                <c:ptCount val="8"/>
                <c:pt idx="0">
                  <c:v>131713</c:v>
                </c:pt>
                <c:pt idx="1">
                  <c:v>94745</c:v>
                </c:pt>
                <c:pt idx="2">
                  <c:v>5000</c:v>
                </c:pt>
                <c:pt idx="3">
                  <c:v>141056</c:v>
                </c:pt>
                <c:pt idx="4">
                  <c:v>155168</c:v>
                </c:pt>
                <c:pt idx="5">
                  <c:v>66782</c:v>
                </c:pt>
                <c:pt idx="6">
                  <c:v>173137</c:v>
                </c:pt>
                <c:pt idx="7">
                  <c:v>267133</c:v>
                </c:pt>
              </c:numCache>
            </c:numRef>
          </c:val>
          <c:extLst>
            <c:ext xmlns:c16="http://schemas.microsoft.com/office/drawing/2014/chart" uri="{C3380CC4-5D6E-409C-BE32-E72D297353CC}">
              <c16:uniqueId val="{00000000-B2A9-44B7-AAA1-5F8B3CB04791}"/>
            </c:ext>
          </c:extLst>
        </c:ser>
        <c:dLbls>
          <c:dLblPos val="outEnd"/>
          <c:showLegendKey val="0"/>
          <c:showVal val="1"/>
          <c:showCatName val="0"/>
          <c:showSerName val="0"/>
          <c:showPercent val="0"/>
          <c:showBubbleSize val="0"/>
        </c:dLbls>
        <c:gapWidth val="219"/>
        <c:overlap val="-27"/>
        <c:axId val="491164856"/>
        <c:axId val="491171416"/>
      </c:barChart>
      <c:catAx>
        <c:axId val="491164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91171416"/>
        <c:crosses val="autoZero"/>
        <c:auto val="1"/>
        <c:lblAlgn val="ctr"/>
        <c:lblOffset val="100"/>
        <c:noMultiLvlLbl val="0"/>
      </c:catAx>
      <c:valAx>
        <c:axId val="491171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91164856"/>
        <c:crosses val="autoZero"/>
        <c:crossBetween val="between"/>
      </c:valAx>
      <c:spPr>
        <a:noFill/>
        <a:ln>
          <a:noFill/>
        </a:ln>
        <a:effectLst/>
      </c:spPr>
    </c:plotArea>
    <c:plotVisOnly val="1"/>
    <c:dispBlanksAs val="gap"/>
    <c:showDLblsOverMax val="0"/>
  </c:chart>
  <c:spPr>
    <a:gradFill flip="none" rotWithShape="1">
      <a:gsLst>
        <a:gs pos="0">
          <a:srgbClr val="7AB2B2">
            <a:shade val="30000"/>
            <a:satMod val="115000"/>
          </a:srgbClr>
        </a:gs>
        <a:gs pos="50000">
          <a:srgbClr val="7AB2B2">
            <a:shade val="67500"/>
            <a:satMod val="115000"/>
          </a:srgbClr>
        </a:gs>
        <a:gs pos="100000">
          <a:srgbClr val="7AB2B2">
            <a:shade val="100000"/>
            <a:satMod val="115000"/>
          </a:srgb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[Assignment-3-Dashboard.xlsx]Sheet2!Total sales for EA Qtr</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Sales per EA Qtr</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4546A">
              <a:lumMod val="75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Sheet2!$E$17</c:f>
              <c:strCache>
                <c:ptCount val="1"/>
                <c:pt idx="0">
                  <c:v>Total</c:v>
                </c:pt>
              </c:strCache>
            </c:strRef>
          </c:tx>
          <c:spPr>
            <a:solidFill>
              <a:srgbClr val="44546A">
                <a:lumMod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Sheet2!$D$18:$D$22</c:f>
              <c:strCache>
                <c:ptCount val="4"/>
                <c:pt idx="0">
                  <c:v>Qtr1</c:v>
                </c:pt>
                <c:pt idx="1">
                  <c:v>Qtr2</c:v>
                </c:pt>
                <c:pt idx="2">
                  <c:v>Qtr3</c:v>
                </c:pt>
                <c:pt idx="3">
                  <c:v>Qtr4</c:v>
                </c:pt>
              </c:strCache>
            </c:strRef>
          </c:cat>
          <c:val>
            <c:numRef>
              <c:f>Sheet2!$E$18:$E$22</c:f>
              <c:numCache>
                <c:formatCode>_("$"* #,##0.00_);_("$"* \(#,##0.00\);_("$"* "-"??_);_(@_)</c:formatCode>
                <c:ptCount val="4"/>
                <c:pt idx="0">
                  <c:v>279049</c:v>
                </c:pt>
                <c:pt idx="1">
                  <c:v>317729</c:v>
                </c:pt>
                <c:pt idx="2">
                  <c:v>342341</c:v>
                </c:pt>
                <c:pt idx="3">
                  <c:v>95615</c:v>
                </c:pt>
              </c:numCache>
            </c:numRef>
          </c:val>
          <c:extLst>
            <c:ext xmlns:c16="http://schemas.microsoft.com/office/drawing/2014/chart" uri="{C3380CC4-5D6E-409C-BE32-E72D297353CC}">
              <c16:uniqueId val="{00000000-561F-47A0-98F2-104687547E52}"/>
            </c:ext>
          </c:extLst>
        </c:ser>
        <c:dLbls>
          <c:dLblPos val="outEnd"/>
          <c:showLegendKey val="0"/>
          <c:showVal val="1"/>
          <c:showCatName val="0"/>
          <c:showSerName val="0"/>
          <c:showPercent val="0"/>
          <c:showBubbleSize val="0"/>
        </c:dLbls>
        <c:gapWidth val="182"/>
        <c:axId val="491167480"/>
        <c:axId val="491168136"/>
      </c:barChart>
      <c:catAx>
        <c:axId val="491167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91168136"/>
        <c:crosses val="autoZero"/>
        <c:auto val="1"/>
        <c:lblAlgn val="ctr"/>
        <c:lblOffset val="100"/>
        <c:noMultiLvlLbl val="0"/>
      </c:catAx>
      <c:valAx>
        <c:axId val="491168136"/>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91167480"/>
        <c:crosses val="autoZero"/>
        <c:crossBetween val="between"/>
      </c:valAx>
      <c:spPr>
        <a:noFill/>
        <a:ln>
          <a:noFill/>
        </a:ln>
        <a:effectLst/>
      </c:spPr>
    </c:plotArea>
    <c:plotVisOnly val="1"/>
    <c:dispBlanksAs val="gap"/>
    <c:showDLblsOverMax val="0"/>
  </c:chart>
  <c:spPr>
    <a:gradFill flip="none" rotWithShape="1">
      <a:gsLst>
        <a:gs pos="0">
          <a:srgbClr val="7AB2B2">
            <a:shade val="30000"/>
            <a:satMod val="115000"/>
          </a:srgbClr>
        </a:gs>
        <a:gs pos="50000">
          <a:srgbClr val="7AB2B2">
            <a:shade val="67500"/>
            <a:satMod val="115000"/>
          </a:srgbClr>
        </a:gs>
        <a:gs pos="100000">
          <a:srgbClr val="7AB2B2">
            <a:shade val="100000"/>
            <a:satMod val="115000"/>
          </a:srgb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[Assignment-3-Dashboard.xlsx]Sheet2!Total sales for EA 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 For EA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4546A">
                <a:lumMod val="7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ysClr val="windowText" lastClr="000000">
                <a:lumMod val="85000"/>
                <a:lumOff val="15000"/>
              </a:sys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7861551902045379E-2"/>
          <c:y val="0.12654897522150096"/>
          <c:w val="0.78771867029667864"/>
          <c:h val="0.72681322619652422"/>
        </c:manualLayout>
      </c:layout>
      <c:lineChart>
        <c:grouping val="standard"/>
        <c:varyColors val="0"/>
        <c:ser>
          <c:idx val="0"/>
          <c:order val="0"/>
          <c:tx>
            <c:strRef>
              <c:f>Sheet2!$E$25</c:f>
              <c:strCache>
                <c:ptCount val="1"/>
                <c:pt idx="0">
                  <c:v>Total</c:v>
                </c:pt>
              </c:strCache>
            </c:strRef>
          </c:tx>
          <c:spPr>
            <a:ln w="28575" cap="rnd">
              <a:solidFill>
                <a:sysClr val="windowText" lastClr="000000">
                  <a:lumMod val="85000"/>
                  <a:lumOff val="15000"/>
                </a:sys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Sheet2!$D$26:$D$38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Sheet2!$E$26:$E$38</c:f>
              <c:numCache>
                <c:formatCode>General</c:formatCode>
                <c:ptCount val="12"/>
                <c:pt idx="0">
                  <c:v>129501</c:v>
                </c:pt>
                <c:pt idx="1">
                  <c:v>69826</c:v>
                </c:pt>
                <c:pt idx="2">
                  <c:v>79722</c:v>
                </c:pt>
                <c:pt idx="3">
                  <c:v>132640</c:v>
                </c:pt>
                <c:pt idx="4">
                  <c:v>112298</c:v>
                </c:pt>
                <c:pt idx="5">
                  <c:v>72791</c:v>
                </c:pt>
                <c:pt idx="6">
                  <c:v>69701</c:v>
                </c:pt>
                <c:pt idx="7">
                  <c:v>112077</c:v>
                </c:pt>
                <c:pt idx="8">
                  <c:v>160563</c:v>
                </c:pt>
                <c:pt idx="9">
                  <c:v>67764</c:v>
                </c:pt>
                <c:pt idx="10">
                  <c:v>21005</c:v>
                </c:pt>
                <c:pt idx="11">
                  <c:v>6846</c:v>
                </c:pt>
              </c:numCache>
            </c:numRef>
          </c:val>
          <c:smooth val="1"/>
          <c:extLst>
            <c:ext xmlns:c16="http://schemas.microsoft.com/office/drawing/2014/chart" uri="{C3380CC4-5D6E-409C-BE32-E72D297353CC}">
              <c16:uniqueId val="{00000000-1387-4D62-B9D3-F55BA4250D2F}"/>
            </c:ext>
          </c:extLst>
        </c:ser>
        <c:dLbls>
          <c:dLblPos val="t"/>
          <c:showLegendKey val="0"/>
          <c:showVal val="1"/>
          <c:showCatName val="0"/>
          <c:showSerName val="0"/>
          <c:showPercent val="0"/>
          <c:showBubbleSize val="0"/>
        </c:dLbls>
        <c:smooth val="0"/>
        <c:axId val="497064608"/>
        <c:axId val="497063952"/>
      </c:lineChart>
      <c:catAx>
        <c:axId val="49706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97063952"/>
        <c:crosses val="autoZero"/>
        <c:auto val="1"/>
        <c:lblAlgn val="ctr"/>
        <c:lblOffset val="100"/>
        <c:noMultiLvlLbl val="0"/>
      </c:catAx>
      <c:valAx>
        <c:axId val="497063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97064608"/>
        <c:crosses val="autoZero"/>
        <c:crossBetween val="between"/>
      </c:valAx>
      <c:spPr>
        <a:noFill/>
        <a:ln>
          <a:noFill/>
        </a:ln>
        <a:effectLst/>
      </c:spPr>
    </c:plotArea>
    <c:plotVisOnly val="1"/>
    <c:dispBlanksAs val="gap"/>
    <c:showDLblsOverMax val="0"/>
  </c:chart>
  <c:spPr>
    <a:gradFill flip="none" rotWithShape="1">
      <a:gsLst>
        <a:gs pos="0">
          <a:srgbClr val="7AB2B2">
            <a:shade val="30000"/>
            <a:satMod val="115000"/>
          </a:srgbClr>
        </a:gs>
        <a:gs pos="50000">
          <a:srgbClr val="7AB2B2">
            <a:shade val="67500"/>
            <a:satMod val="115000"/>
          </a:srgbClr>
        </a:gs>
        <a:gs pos="100000">
          <a:srgbClr val="7AB2B2">
            <a:shade val="100000"/>
            <a:satMod val="115000"/>
          </a:srgb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13606</xdr:colOff>
      <xdr:row>0</xdr:row>
      <xdr:rowOff>176894</xdr:rowOff>
    </xdr:from>
    <xdr:to>
      <xdr:col>26</xdr:col>
      <xdr:colOff>217714</xdr:colOff>
      <xdr:row>52</xdr:row>
      <xdr:rowOff>176894</xdr:rowOff>
    </xdr:to>
    <xdr:sp macro="" textlink="">
      <xdr:nvSpPr>
        <xdr:cNvPr id="19" name="Rounded Rectangle 18"/>
        <xdr:cNvSpPr/>
      </xdr:nvSpPr>
      <xdr:spPr>
        <a:xfrm>
          <a:off x="13606" y="176894"/>
          <a:ext cx="16723179" cy="10123714"/>
        </a:xfrm>
        <a:prstGeom prst="round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171710</xdr:colOff>
      <xdr:row>3</xdr:row>
      <xdr:rowOff>80722</xdr:rowOff>
    </xdr:from>
    <xdr:to>
      <xdr:col>24</xdr:col>
      <xdr:colOff>597330</xdr:colOff>
      <xdr:row>50</xdr:row>
      <xdr:rowOff>127636</xdr:rowOff>
    </xdr:to>
    <xdr:grpSp>
      <xdr:nvGrpSpPr>
        <xdr:cNvPr id="2" name="Group 1"/>
        <xdr:cNvGrpSpPr/>
      </xdr:nvGrpSpPr>
      <xdr:grpSpPr>
        <a:xfrm>
          <a:off x="784031" y="652222"/>
          <a:ext cx="15107728" cy="9218128"/>
          <a:chOff x="171710" y="80722"/>
          <a:chExt cx="15132866" cy="9345897"/>
        </a:xfrm>
      </xdr:grpSpPr>
      <xdr:graphicFrame macro="">
        <xdr:nvGraphicFramePr>
          <xdr:cNvPr id="3" name="Chart 2"/>
          <xdr:cNvGraphicFramePr>
            <a:graphicFrameLocks/>
          </xdr:cNvGraphicFramePr>
        </xdr:nvGraphicFramePr>
        <xdr:xfrm>
          <a:off x="171710" y="1613523"/>
          <a:ext cx="6545654" cy="377381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xdr:cNvGraphicFramePr>
            <a:graphicFrameLocks/>
          </xdr:cNvGraphicFramePr>
        </xdr:nvGraphicFramePr>
        <xdr:xfrm>
          <a:off x="6795846" y="1621663"/>
          <a:ext cx="6545654" cy="377570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Total sales per EA Qtr"/>
          <xdr:cNvGraphicFramePr>
            <a:graphicFrameLocks/>
          </xdr:cNvGraphicFramePr>
        </xdr:nvGraphicFramePr>
        <xdr:xfrm>
          <a:off x="178594" y="5652808"/>
          <a:ext cx="6547828" cy="377381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xdr:cNvGraphicFramePr>
            <a:graphicFrameLocks/>
          </xdr:cNvGraphicFramePr>
        </xdr:nvGraphicFramePr>
        <xdr:xfrm>
          <a:off x="6786320" y="5629048"/>
          <a:ext cx="6545654" cy="3773811"/>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7" name="Product 1"/>
              <xdr:cNvGraphicFramePr/>
            </xdr:nvGraphicFramePr>
            <xdr:xfrm>
              <a:off x="8528848" y="719247"/>
              <a:ext cx="4830368" cy="659207"/>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127287" y="1282018"/>
                <a:ext cx="4822344" cy="650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Category 1"/>
              <xdr:cNvGraphicFramePr/>
            </xdr:nvGraphicFramePr>
            <xdr:xfrm>
              <a:off x="13557681" y="3323594"/>
              <a:ext cx="1746895" cy="894537"/>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147766" y="3850760"/>
                <a:ext cx="1743993" cy="882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Country 1"/>
              <xdr:cNvGraphicFramePr/>
            </xdr:nvGraphicFramePr>
            <xdr:xfrm>
              <a:off x="187493" y="735967"/>
              <a:ext cx="8287738" cy="656284"/>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99788" y="1298509"/>
                <a:ext cx="8273971" cy="647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Quarter 1"/>
              <xdr:cNvGraphicFramePr/>
            </xdr:nvGraphicFramePr>
            <xdr:xfrm>
              <a:off x="13538203" y="1620221"/>
              <a:ext cx="1750230" cy="1463297"/>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4128320" y="2170674"/>
                <a:ext cx="1747323" cy="1443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Year 1"/>
              <xdr:cNvGraphicFramePr/>
            </xdr:nvGraphicFramePr>
            <xdr:xfrm>
              <a:off x="13547635" y="4497490"/>
              <a:ext cx="1724654" cy="631572"/>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137737" y="5008608"/>
                <a:ext cx="1721789" cy="622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2" name="Rounded Rectangle 11"/>
          <xdr:cNvSpPr/>
        </xdr:nvSpPr>
        <xdr:spPr>
          <a:xfrm>
            <a:off x="193728" y="80722"/>
            <a:ext cx="13157416" cy="581186"/>
          </a:xfrm>
          <a:prstGeom prst="roundRect">
            <a:avLst>
              <a:gd name="adj" fmla="val 50000"/>
            </a:avLst>
          </a:prstGeom>
          <a:gradFill flip="none" rotWithShape="1">
            <a:gsLst>
              <a:gs pos="0">
                <a:srgbClr val="09637E">
                  <a:shade val="30000"/>
                  <a:satMod val="115000"/>
                </a:srgbClr>
              </a:gs>
              <a:gs pos="50000">
                <a:srgbClr val="09637E">
                  <a:shade val="67500"/>
                  <a:satMod val="115000"/>
                </a:srgbClr>
              </a:gs>
              <a:gs pos="100000">
                <a:srgbClr val="09637E">
                  <a:shade val="100000"/>
                  <a:satMod val="115000"/>
                </a:srgb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latin typeface="Times New Roman" panose="02020603050405020304" pitchFamily="18" charset="0"/>
                <a:cs typeface="Times New Roman" panose="02020603050405020304" pitchFamily="18" charset="0"/>
              </a:rPr>
              <a:t>Sales Dashboard</a:t>
            </a:r>
          </a:p>
        </xdr:txBody>
      </xdr:sp>
    </xdr:grpSp>
    <xdr:clientData/>
  </xdr:twoCellAnchor>
  <xdr:twoCellAnchor>
    <xdr:from>
      <xdr:col>23</xdr:col>
      <xdr:colOff>24216</xdr:colOff>
      <xdr:row>30</xdr:row>
      <xdr:rowOff>161441</xdr:rowOff>
    </xdr:from>
    <xdr:to>
      <xdr:col>24</xdr:col>
      <xdr:colOff>443962</xdr:colOff>
      <xdr:row>32</xdr:row>
      <xdr:rowOff>177585</xdr:rowOff>
    </xdr:to>
    <xdr:sp macro="" textlink="">
      <xdr:nvSpPr>
        <xdr:cNvPr id="13" name="Rounded Rectangle 12"/>
        <xdr:cNvSpPr/>
      </xdr:nvSpPr>
      <xdr:spPr>
        <a:xfrm>
          <a:off x="13435416" y="5514491"/>
          <a:ext cx="1629421" cy="397144"/>
        </a:xfrm>
        <a:prstGeom prst="roundRect">
          <a:avLst>
            <a:gd name="adj" fmla="val 50000"/>
          </a:avLst>
        </a:prstGeom>
        <a:gradFill flip="none" rotWithShape="1">
          <a:gsLst>
            <a:gs pos="0">
              <a:srgbClr val="7AB2B2">
                <a:tint val="66000"/>
                <a:satMod val="160000"/>
              </a:srgbClr>
            </a:gs>
            <a:gs pos="50000">
              <a:srgbClr val="7AB2B2">
                <a:tint val="44500"/>
                <a:satMod val="160000"/>
              </a:srgbClr>
            </a:gs>
            <a:gs pos="100000">
              <a:srgbClr val="7AB2B2">
                <a:tint val="23500"/>
                <a:satMod val="160000"/>
              </a:srgbClr>
            </a:gs>
          </a:gsLst>
          <a:path path="circle">
            <a:fillToRect l="50000" t="50000" r="50000" b="50000"/>
          </a:path>
          <a:tileRect/>
        </a:gradFill>
        <a:ln w="571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latin typeface="Times New Roman" panose="02020603050405020304" pitchFamily="18" charset="0"/>
              <a:cs typeface="Times New Roman" panose="02020603050405020304" pitchFamily="18" charset="0"/>
            </a:rPr>
            <a:t>T-S</a:t>
          </a:r>
        </a:p>
        <a:p>
          <a:pPr algn="l"/>
          <a:endParaRPr lang="en-US" sz="1100"/>
        </a:p>
      </xdr:txBody>
    </xdr:sp>
    <xdr:clientData/>
  </xdr:twoCellAnchor>
  <xdr:twoCellAnchor>
    <xdr:from>
      <xdr:col>23</xdr:col>
      <xdr:colOff>24216</xdr:colOff>
      <xdr:row>33</xdr:row>
      <xdr:rowOff>113008</xdr:rowOff>
    </xdr:from>
    <xdr:to>
      <xdr:col>24</xdr:col>
      <xdr:colOff>443962</xdr:colOff>
      <xdr:row>35</xdr:row>
      <xdr:rowOff>129151</xdr:rowOff>
    </xdr:to>
    <xdr:sp macro="" textlink="Sheet2!H20">
      <xdr:nvSpPr>
        <xdr:cNvPr id="14" name="Rounded Rectangle 13"/>
        <xdr:cNvSpPr/>
      </xdr:nvSpPr>
      <xdr:spPr>
        <a:xfrm>
          <a:off x="13435416" y="6037558"/>
          <a:ext cx="1629421" cy="397143"/>
        </a:xfrm>
        <a:prstGeom prst="roundRect">
          <a:avLst>
            <a:gd name="adj" fmla="val 0"/>
          </a:avLst>
        </a:prstGeom>
        <a:gradFill flip="none" rotWithShape="1">
          <a:gsLst>
            <a:gs pos="0">
              <a:srgbClr val="7AB2B2">
                <a:tint val="66000"/>
                <a:satMod val="160000"/>
              </a:srgbClr>
            </a:gs>
            <a:gs pos="50000">
              <a:srgbClr val="7AB2B2">
                <a:tint val="44500"/>
                <a:satMod val="160000"/>
              </a:srgbClr>
            </a:gs>
            <a:gs pos="100000">
              <a:srgbClr val="7AB2B2">
                <a:tint val="23500"/>
                <a:satMod val="160000"/>
              </a:srgbClr>
            </a:gs>
          </a:gsLst>
          <a:path path="circle">
            <a:fillToRect l="50000" t="50000" r="50000" b="50000"/>
          </a:path>
          <a:tileRect/>
        </a:gradFill>
        <a:ln w="571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19CD5906-FB00-41D6-885C-290CAFDE15EA}" type="TxLink">
            <a:rPr lang="en-US" sz="1800" b="1" i="0" u="none" strike="noStrike">
              <a:solidFill>
                <a:sysClr val="windowText" lastClr="000000"/>
              </a:solidFill>
              <a:latin typeface="Times New Roman" panose="02020603050405020304" pitchFamily="18" charset="0"/>
              <a:ea typeface="+mn-ea"/>
              <a:cs typeface="Times New Roman" panose="02020603050405020304" pitchFamily="18" charset="0"/>
            </a:rPr>
            <a:pPr marL="0" indent="0" algn="l"/>
            <a:t> 1,034,734.00 </a:t>
          </a:fld>
          <a:endParaRPr lang="en-US" sz="1800" b="1">
            <a:solidFill>
              <a:sysClr val="windowText" lastClr="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23</xdr:col>
      <xdr:colOff>24216</xdr:colOff>
      <xdr:row>38</xdr:row>
      <xdr:rowOff>0</xdr:rowOff>
    </xdr:from>
    <xdr:to>
      <xdr:col>24</xdr:col>
      <xdr:colOff>443962</xdr:colOff>
      <xdr:row>40</xdr:row>
      <xdr:rowOff>16143</xdr:rowOff>
    </xdr:to>
    <xdr:sp macro="" textlink="">
      <xdr:nvSpPr>
        <xdr:cNvPr id="15" name="Rounded Rectangle 14"/>
        <xdr:cNvSpPr/>
      </xdr:nvSpPr>
      <xdr:spPr>
        <a:xfrm>
          <a:off x="13435416" y="6877050"/>
          <a:ext cx="1629421" cy="397143"/>
        </a:xfrm>
        <a:prstGeom prst="roundRect">
          <a:avLst>
            <a:gd name="adj" fmla="val 50000"/>
          </a:avLst>
        </a:prstGeom>
        <a:gradFill flip="none" rotWithShape="1">
          <a:gsLst>
            <a:gs pos="0">
              <a:srgbClr val="7AB2B2">
                <a:tint val="66000"/>
                <a:satMod val="160000"/>
              </a:srgbClr>
            </a:gs>
            <a:gs pos="50000">
              <a:srgbClr val="7AB2B2">
                <a:tint val="44500"/>
                <a:satMod val="160000"/>
              </a:srgbClr>
            </a:gs>
            <a:gs pos="100000">
              <a:srgbClr val="7AB2B2">
                <a:tint val="23500"/>
                <a:satMod val="160000"/>
              </a:srgbClr>
            </a:gs>
          </a:gsLst>
          <a:path path="circle">
            <a:fillToRect l="50000" t="50000" r="50000" b="50000"/>
          </a:path>
          <a:tileRect/>
        </a:gradFill>
        <a:ln w="571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latin typeface="Times New Roman" panose="02020603050405020304" pitchFamily="18" charset="0"/>
              <a:ea typeface="+mn-ea"/>
              <a:cs typeface="Times New Roman" panose="02020603050405020304" pitchFamily="18" charset="0"/>
            </a:rPr>
            <a:t>Avg sales</a:t>
          </a:r>
        </a:p>
      </xdr:txBody>
    </xdr:sp>
    <xdr:clientData/>
  </xdr:twoCellAnchor>
  <xdr:twoCellAnchor>
    <xdr:from>
      <xdr:col>23</xdr:col>
      <xdr:colOff>24216</xdr:colOff>
      <xdr:row>40</xdr:row>
      <xdr:rowOff>145295</xdr:rowOff>
    </xdr:from>
    <xdr:to>
      <xdr:col>24</xdr:col>
      <xdr:colOff>443962</xdr:colOff>
      <xdr:row>42</xdr:row>
      <xdr:rowOff>161438</xdr:rowOff>
    </xdr:to>
    <xdr:sp macro="" textlink="Sheet2!J20">
      <xdr:nvSpPr>
        <xdr:cNvPr id="16" name="Rounded Rectangle 15"/>
        <xdr:cNvSpPr/>
      </xdr:nvSpPr>
      <xdr:spPr>
        <a:xfrm>
          <a:off x="13435416" y="7403345"/>
          <a:ext cx="1629421" cy="397143"/>
        </a:xfrm>
        <a:prstGeom prst="roundRect">
          <a:avLst>
            <a:gd name="adj" fmla="val 0"/>
          </a:avLst>
        </a:prstGeom>
        <a:gradFill flip="none" rotWithShape="1">
          <a:gsLst>
            <a:gs pos="0">
              <a:srgbClr val="7AB2B2">
                <a:tint val="66000"/>
                <a:satMod val="160000"/>
              </a:srgbClr>
            </a:gs>
            <a:gs pos="50000">
              <a:srgbClr val="7AB2B2">
                <a:tint val="44500"/>
                <a:satMod val="160000"/>
              </a:srgbClr>
            </a:gs>
            <a:gs pos="100000">
              <a:srgbClr val="7AB2B2">
                <a:tint val="23500"/>
                <a:satMod val="160000"/>
              </a:srgbClr>
            </a:gs>
          </a:gsLst>
          <a:path path="circle">
            <a:fillToRect l="50000" t="50000" r="50000" b="50000"/>
          </a:path>
          <a:tileRect/>
        </a:gradFill>
        <a:ln w="571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48DEC2A-6279-45DA-9C98-91BBD9A41E99}" type="TxLink">
            <a:rPr lang="en-US" sz="1800" b="1" i="0" u="none" strike="noStrike">
              <a:solidFill>
                <a:sysClr val="windowText" lastClr="000000"/>
              </a:solidFill>
              <a:latin typeface="Times New Roman" panose="02020603050405020304" pitchFamily="18" charset="0"/>
              <a:ea typeface="+mn-ea"/>
              <a:cs typeface="Times New Roman" panose="02020603050405020304" pitchFamily="18" charset="0"/>
            </a:rPr>
            <a:pPr marL="0" indent="0" algn="ctr"/>
            <a:t> 4,835 </a:t>
          </a:fld>
          <a:endParaRPr lang="en-US" sz="1800" b="1">
            <a:solidFill>
              <a:sysClr val="windowText" lastClr="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23</xdr:col>
      <xdr:colOff>24216</xdr:colOff>
      <xdr:row>45</xdr:row>
      <xdr:rowOff>0</xdr:rowOff>
    </xdr:from>
    <xdr:to>
      <xdr:col>24</xdr:col>
      <xdr:colOff>443962</xdr:colOff>
      <xdr:row>47</xdr:row>
      <xdr:rowOff>16143</xdr:rowOff>
    </xdr:to>
    <xdr:sp macro="" textlink="">
      <xdr:nvSpPr>
        <xdr:cNvPr id="17" name="Rounded Rectangle 16"/>
        <xdr:cNvSpPr/>
      </xdr:nvSpPr>
      <xdr:spPr>
        <a:xfrm>
          <a:off x="13435416" y="8210550"/>
          <a:ext cx="1629421" cy="397143"/>
        </a:xfrm>
        <a:prstGeom prst="roundRect">
          <a:avLst>
            <a:gd name="adj" fmla="val 50000"/>
          </a:avLst>
        </a:prstGeom>
        <a:gradFill flip="none" rotWithShape="1">
          <a:gsLst>
            <a:gs pos="0">
              <a:srgbClr val="7AB2B2">
                <a:tint val="66000"/>
                <a:satMod val="160000"/>
              </a:srgbClr>
            </a:gs>
            <a:gs pos="50000">
              <a:srgbClr val="7AB2B2">
                <a:tint val="44500"/>
                <a:satMod val="160000"/>
              </a:srgbClr>
            </a:gs>
            <a:gs pos="100000">
              <a:srgbClr val="7AB2B2">
                <a:tint val="23500"/>
                <a:satMod val="160000"/>
              </a:srgbClr>
            </a:gs>
          </a:gsLst>
          <a:path path="circle">
            <a:fillToRect l="50000" t="50000" r="50000" b="50000"/>
          </a:path>
          <a:tileRect/>
        </a:gradFill>
        <a:ln w="571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ysClr val="windowText" lastClr="000000"/>
              </a:solidFill>
              <a:latin typeface="Times New Roman" panose="02020603050405020304" pitchFamily="18" charset="0"/>
              <a:ea typeface="+mn-ea"/>
              <a:cs typeface="Times New Roman" panose="02020603050405020304" pitchFamily="18" charset="0"/>
            </a:rPr>
            <a:t># Orders</a:t>
          </a:r>
        </a:p>
      </xdr:txBody>
    </xdr:sp>
    <xdr:clientData/>
  </xdr:twoCellAnchor>
  <xdr:twoCellAnchor>
    <xdr:from>
      <xdr:col>23</xdr:col>
      <xdr:colOff>24216</xdr:colOff>
      <xdr:row>47</xdr:row>
      <xdr:rowOff>145295</xdr:rowOff>
    </xdr:from>
    <xdr:to>
      <xdr:col>24</xdr:col>
      <xdr:colOff>443962</xdr:colOff>
      <xdr:row>49</xdr:row>
      <xdr:rowOff>161439</xdr:rowOff>
    </xdr:to>
    <xdr:sp macro="" textlink="Sheet2!L20">
      <xdr:nvSpPr>
        <xdr:cNvPr id="18" name="Rounded Rectangle 17"/>
        <xdr:cNvSpPr/>
      </xdr:nvSpPr>
      <xdr:spPr>
        <a:xfrm>
          <a:off x="13435416" y="8736845"/>
          <a:ext cx="1629421" cy="397144"/>
        </a:xfrm>
        <a:prstGeom prst="roundRect">
          <a:avLst>
            <a:gd name="adj" fmla="val 0"/>
          </a:avLst>
        </a:prstGeom>
        <a:gradFill flip="none" rotWithShape="1">
          <a:gsLst>
            <a:gs pos="0">
              <a:srgbClr val="7AB2B2">
                <a:tint val="66000"/>
                <a:satMod val="160000"/>
              </a:srgbClr>
            </a:gs>
            <a:gs pos="50000">
              <a:srgbClr val="7AB2B2">
                <a:tint val="44500"/>
                <a:satMod val="160000"/>
              </a:srgbClr>
            </a:gs>
            <a:gs pos="100000">
              <a:srgbClr val="7AB2B2">
                <a:tint val="23500"/>
                <a:satMod val="160000"/>
              </a:srgbClr>
            </a:gs>
          </a:gsLst>
          <a:path path="circle">
            <a:fillToRect l="50000" t="50000" r="50000" b="50000"/>
          </a:path>
          <a:tileRect/>
        </a:gradFill>
        <a:ln w="571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C8B3308-5499-4615-A79D-B5CE2D7BDD47}" type="TxLink">
            <a:rPr lang="en-US" sz="1800" b="1" i="0" u="none" strike="noStrike">
              <a:solidFill>
                <a:sysClr val="windowText" lastClr="000000"/>
              </a:solidFill>
              <a:latin typeface="Times New Roman" panose="02020603050405020304" pitchFamily="18" charset="0"/>
              <a:ea typeface="+mn-ea"/>
              <a:cs typeface="Times New Roman" panose="02020603050405020304" pitchFamily="18" charset="0"/>
            </a:rPr>
            <a:pPr marL="0" indent="0" algn="ctr"/>
            <a:t>214</a:t>
          </a:fld>
          <a:endParaRPr lang="en-US" sz="1800" b="1">
            <a:solidFill>
              <a:sysClr val="windowText" lastClr="000000"/>
            </a:solidFill>
            <a:latin typeface="Times New Roman" panose="02020603050405020304" pitchFamily="18" charset="0"/>
            <a:ea typeface="+mn-ea"/>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38.82860173611" createdVersion="6" refreshedVersion="6" minRefreshableVersion="3" recordCount="214">
  <cacheSource type="worksheet">
    <worksheetSource name="Data"/>
  </cacheSource>
  <cacheFields count="13">
    <cacheField name="Order ID" numFmtId="0">
      <sharedItems containsSemiMixedTypes="0" containsString="0" containsNumber="1" containsInteger="1" minValue="1" maxValue="214" count="2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sharedItems>
    </cacheField>
    <cacheField name="Date" numFmtId="14">
      <sharedItems containsSemiMixedTypes="0" containsNonDate="0" containsDate="1" containsString="0" minDate="2019-07-15T00:00:00" maxDate="2020-10-20T00:00:00" count="158">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19T00:00:00"/>
      </sharedItems>
      <fieldGroup par="12" base="1">
        <rangePr groupBy="months" startDate="2019-07-15T00:00:00" endDate="2020-10-20T00:00:00"/>
        <groupItems count="14">
          <s v="&lt;7/15/2019"/>
          <s v="Jan"/>
          <s v="Feb"/>
          <s v="Mar"/>
          <s v="Apr"/>
          <s v="May"/>
          <s v="Jun"/>
          <s v="Jul"/>
          <s v="Aug"/>
          <s v="Sep"/>
          <s v="Oct"/>
          <s v="Nov"/>
          <s v="Dec"/>
          <s v="&gt;10/20/2020"/>
        </groupItems>
      </fieldGroup>
    </cacheField>
    <cacheField name="Product" numFmtId="0">
      <sharedItems count="7">
        <s v="Carrots"/>
        <s v="Broccoli"/>
        <s v="Banana"/>
        <s v="Beans"/>
        <s v="Orange"/>
        <s v="Apple"/>
        <s v="Mango"/>
      </sharedItems>
    </cacheField>
    <cacheField name="Category" numFmtId="0">
      <sharedItems count="2">
        <s v="Vegetables"/>
        <s v="Fruit"/>
      </sharedItems>
    </cacheField>
    <cacheField name="Country" numFmtId="0">
      <sharedItems count="8">
        <s v="US"/>
        <s v="UK"/>
        <s v="Canada"/>
        <s v="Germany"/>
        <s v="Australia"/>
        <s v="New Zealand"/>
        <s v="France"/>
        <s v="EGY"/>
      </sharedItems>
    </cacheField>
    <cacheField name="Region" numFmtId="0">
      <sharedItems count="4">
        <s v="South"/>
        <s v="East"/>
        <s v="North"/>
        <s v="West"/>
      </sharedItems>
    </cacheField>
    <cacheField name="Month" numFmtId="0">
      <sharedItems/>
    </cacheField>
    <cacheField name="Year" numFmtId="0">
      <sharedItems containsSemiMixedTypes="0" containsString="0" containsNumber="1" containsInteger="1" minValue="2019" maxValue="2020" count="2">
        <n v="2019"/>
        <n v="2020"/>
      </sharedItems>
    </cacheField>
    <cacheField name="Quarter" numFmtId="0">
      <sharedItems count="4">
        <s v="Q3"/>
        <s v="Q4"/>
        <s v="Q1"/>
        <s v="Q2"/>
      </sharedItems>
    </cacheField>
    <cacheField name="Amount" numFmtId="164">
      <sharedItems containsSemiMixedTypes="0" containsString="0" containsNumber="1" containsInteger="1" minValue="107" maxValue="9990"/>
    </cacheField>
    <cacheField name="Tax" numFmtId="0" formula="Amount*0.1" databaseField="0"/>
    <cacheField name="Quarters" numFmtId="0" databaseField="0">
      <fieldGroup base="1">
        <rangePr groupBy="quarters" startDate="2019-07-15T00:00:00" endDate="2020-10-20T00:00:00"/>
        <groupItems count="6">
          <s v="&lt;7/15/2019"/>
          <s v="Qtr1"/>
          <s v="Qtr2"/>
          <s v="Qtr3"/>
          <s v="Qtr4"/>
          <s v="&gt;10/20/2020"/>
        </groupItems>
      </fieldGroup>
    </cacheField>
    <cacheField name="Years" numFmtId="0" databaseField="0">
      <fieldGroup base="1">
        <rangePr groupBy="years" startDate="2019-07-15T00:00:00" endDate="2020-10-20T00:00:00"/>
        <groupItems count="4">
          <s v="&lt;7/15/2019"/>
          <s v="2019"/>
          <s v="2020"/>
          <s v="&gt;10/20/202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14">
  <r>
    <x v="0"/>
    <x v="0"/>
    <x v="0"/>
    <x v="0"/>
    <x v="0"/>
    <x v="0"/>
    <s v="July"/>
    <x v="0"/>
    <x v="0"/>
    <n v="4270"/>
  </r>
  <r>
    <x v="1"/>
    <x v="1"/>
    <x v="1"/>
    <x v="0"/>
    <x v="1"/>
    <x v="1"/>
    <s v="July"/>
    <x v="0"/>
    <x v="0"/>
    <n v="8239"/>
  </r>
  <r>
    <x v="2"/>
    <x v="2"/>
    <x v="2"/>
    <x v="1"/>
    <x v="0"/>
    <x v="1"/>
    <s v="July"/>
    <x v="0"/>
    <x v="0"/>
    <n v="617"/>
  </r>
  <r>
    <x v="3"/>
    <x v="3"/>
    <x v="2"/>
    <x v="1"/>
    <x v="2"/>
    <x v="2"/>
    <s v="August"/>
    <x v="0"/>
    <x v="0"/>
    <n v="8384"/>
  </r>
  <r>
    <x v="4"/>
    <x v="4"/>
    <x v="3"/>
    <x v="0"/>
    <x v="3"/>
    <x v="3"/>
    <s v="August"/>
    <x v="0"/>
    <x v="0"/>
    <n v="2626"/>
  </r>
  <r>
    <x v="5"/>
    <x v="5"/>
    <x v="4"/>
    <x v="1"/>
    <x v="0"/>
    <x v="0"/>
    <s v="August"/>
    <x v="0"/>
    <x v="0"/>
    <n v="3610"/>
  </r>
  <r>
    <x v="6"/>
    <x v="6"/>
    <x v="1"/>
    <x v="0"/>
    <x v="4"/>
    <x v="0"/>
    <s v="August"/>
    <x v="0"/>
    <x v="0"/>
    <n v="9062"/>
  </r>
  <r>
    <x v="7"/>
    <x v="7"/>
    <x v="2"/>
    <x v="1"/>
    <x v="5"/>
    <x v="1"/>
    <s v="September"/>
    <x v="0"/>
    <x v="0"/>
    <n v="6906"/>
  </r>
  <r>
    <x v="8"/>
    <x v="8"/>
    <x v="5"/>
    <x v="1"/>
    <x v="6"/>
    <x v="3"/>
    <s v="September"/>
    <x v="0"/>
    <x v="0"/>
    <n v="2417"/>
  </r>
  <r>
    <x v="9"/>
    <x v="9"/>
    <x v="5"/>
    <x v="1"/>
    <x v="2"/>
    <x v="0"/>
    <s v="October"/>
    <x v="0"/>
    <x v="1"/>
    <n v="7431"/>
  </r>
  <r>
    <x v="10"/>
    <x v="10"/>
    <x v="2"/>
    <x v="1"/>
    <x v="3"/>
    <x v="1"/>
    <s v="October"/>
    <x v="0"/>
    <x v="1"/>
    <n v="8250"/>
  </r>
  <r>
    <x v="11"/>
    <x v="11"/>
    <x v="1"/>
    <x v="0"/>
    <x v="0"/>
    <x v="0"/>
    <s v="November"/>
    <x v="0"/>
    <x v="1"/>
    <n v="7012"/>
  </r>
  <r>
    <x v="12"/>
    <x v="12"/>
    <x v="0"/>
    <x v="0"/>
    <x v="3"/>
    <x v="1"/>
    <s v="November"/>
    <x v="0"/>
    <x v="1"/>
    <n v="1903"/>
  </r>
  <r>
    <x v="13"/>
    <x v="13"/>
    <x v="1"/>
    <x v="0"/>
    <x v="2"/>
    <x v="3"/>
    <s v="November"/>
    <x v="0"/>
    <x v="1"/>
    <n v="2824"/>
  </r>
  <r>
    <x v="14"/>
    <x v="14"/>
    <x v="5"/>
    <x v="1"/>
    <x v="6"/>
    <x v="0"/>
    <s v="November"/>
    <x v="0"/>
    <x v="1"/>
    <n v="6946"/>
  </r>
  <r>
    <x v="15"/>
    <x v="15"/>
    <x v="2"/>
    <x v="1"/>
    <x v="1"/>
    <x v="2"/>
    <s v="November"/>
    <x v="0"/>
    <x v="1"/>
    <n v="2320"/>
  </r>
  <r>
    <x v="16"/>
    <x v="16"/>
    <x v="2"/>
    <x v="1"/>
    <x v="0"/>
    <x v="2"/>
    <s v="December"/>
    <x v="0"/>
    <x v="1"/>
    <n v="2116"/>
  </r>
  <r>
    <x v="17"/>
    <x v="17"/>
    <x v="2"/>
    <x v="1"/>
    <x v="1"/>
    <x v="2"/>
    <s v="December"/>
    <x v="0"/>
    <x v="1"/>
    <n v="1135"/>
  </r>
  <r>
    <x v="18"/>
    <x v="18"/>
    <x v="1"/>
    <x v="0"/>
    <x v="1"/>
    <x v="1"/>
    <s v="December"/>
    <x v="0"/>
    <x v="1"/>
    <n v="3595"/>
  </r>
  <r>
    <x v="19"/>
    <x v="19"/>
    <x v="5"/>
    <x v="1"/>
    <x v="0"/>
    <x v="0"/>
    <s v="January"/>
    <x v="1"/>
    <x v="2"/>
    <n v="1161"/>
  </r>
  <r>
    <x v="20"/>
    <x v="20"/>
    <x v="4"/>
    <x v="1"/>
    <x v="6"/>
    <x v="2"/>
    <s v="January"/>
    <x v="1"/>
    <x v="2"/>
    <n v="2256"/>
  </r>
  <r>
    <x v="21"/>
    <x v="21"/>
    <x v="2"/>
    <x v="1"/>
    <x v="5"/>
    <x v="0"/>
    <s v="January"/>
    <x v="1"/>
    <x v="2"/>
    <n v="1004"/>
  </r>
  <r>
    <x v="22"/>
    <x v="22"/>
    <x v="2"/>
    <x v="1"/>
    <x v="2"/>
    <x v="1"/>
    <s v="January"/>
    <x v="1"/>
    <x v="2"/>
    <n v="3642"/>
  </r>
  <r>
    <x v="23"/>
    <x v="23"/>
    <x v="2"/>
    <x v="1"/>
    <x v="0"/>
    <x v="0"/>
    <s v="January"/>
    <x v="1"/>
    <x v="2"/>
    <n v="4582"/>
  </r>
  <r>
    <x v="24"/>
    <x v="23"/>
    <x v="3"/>
    <x v="0"/>
    <x v="1"/>
    <x v="1"/>
    <s v="January"/>
    <x v="1"/>
    <x v="2"/>
    <n v="3559"/>
  </r>
  <r>
    <x v="25"/>
    <x v="23"/>
    <x v="0"/>
    <x v="0"/>
    <x v="4"/>
    <x v="0"/>
    <s v="January"/>
    <x v="1"/>
    <x v="2"/>
    <n v="5154"/>
  </r>
  <r>
    <x v="26"/>
    <x v="24"/>
    <x v="6"/>
    <x v="1"/>
    <x v="6"/>
    <x v="0"/>
    <s v="January"/>
    <x v="1"/>
    <x v="2"/>
    <n v="7388"/>
  </r>
  <r>
    <x v="27"/>
    <x v="25"/>
    <x v="3"/>
    <x v="0"/>
    <x v="0"/>
    <x v="2"/>
    <s v="January"/>
    <x v="1"/>
    <x v="2"/>
    <n v="7163"/>
  </r>
  <r>
    <x v="28"/>
    <x v="25"/>
    <x v="3"/>
    <x v="0"/>
    <x v="3"/>
    <x v="0"/>
    <s v="January"/>
    <x v="1"/>
    <x v="2"/>
    <n v="5101"/>
  </r>
  <r>
    <x v="29"/>
    <x v="26"/>
    <x v="5"/>
    <x v="1"/>
    <x v="6"/>
    <x v="1"/>
    <s v="January"/>
    <x v="1"/>
    <x v="2"/>
    <n v="7602"/>
  </r>
  <r>
    <x v="30"/>
    <x v="26"/>
    <x v="6"/>
    <x v="1"/>
    <x v="0"/>
    <x v="0"/>
    <s v="January"/>
    <x v="1"/>
    <x v="2"/>
    <n v="1641"/>
  </r>
  <r>
    <x v="31"/>
    <x v="27"/>
    <x v="5"/>
    <x v="1"/>
    <x v="4"/>
    <x v="3"/>
    <s v="January"/>
    <x v="1"/>
    <x v="2"/>
    <n v="8892"/>
  </r>
  <r>
    <x v="32"/>
    <x v="27"/>
    <x v="5"/>
    <x v="1"/>
    <x v="6"/>
    <x v="3"/>
    <s v="January"/>
    <x v="1"/>
    <x v="2"/>
    <n v="2060"/>
  </r>
  <r>
    <x v="33"/>
    <x v="28"/>
    <x v="1"/>
    <x v="0"/>
    <x v="3"/>
    <x v="0"/>
    <s v="January"/>
    <x v="1"/>
    <x v="2"/>
    <n v="1557"/>
  </r>
  <r>
    <x v="34"/>
    <x v="28"/>
    <x v="5"/>
    <x v="1"/>
    <x v="6"/>
    <x v="1"/>
    <s v="January"/>
    <x v="1"/>
    <x v="2"/>
    <n v="6509"/>
  </r>
  <r>
    <x v="35"/>
    <x v="29"/>
    <x v="5"/>
    <x v="1"/>
    <x v="4"/>
    <x v="2"/>
    <s v="January"/>
    <x v="1"/>
    <x v="2"/>
    <n v="5718"/>
  </r>
  <r>
    <x v="36"/>
    <x v="29"/>
    <x v="5"/>
    <x v="1"/>
    <x v="0"/>
    <x v="2"/>
    <s v="January"/>
    <x v="1"/>
    <x v="2"/>
    <n v="7655"/>
  </r>
  <r>
    <x v="37"/>
    <x v="29"/>
    <x v="0"/>
    <x v="0"/>
    <x v="1"/>
    <x v="2"/>
    <s v="January"/>
    <x v="1"/>
    <x v="2"/>
    <n v="9116"/>
  </r>
  <r>
    <x v="38"/>
    <x v="29"/>
    <x v="2"/>
    <x v="1"/>
    <x v="0"/>
    <x v="0"/>
    <s v="January"/>
    <x v="1"/>
    <x v="2"/>
    <n v="2795"/>
  </r>
  <r>
    <x v="39"/>
    <x v="30"/>
    <x v="2"/>
    <x v="1"/>
    <x v="0"/>
    <x v="1"/>
    <s v="January"/>
    <x v="1"/>
    <x v="2"/>
    <n v="5084"/>
  </r>
  <r>
    <x v="40"/>
    <x v="31"/>
    <x v="0"/>
    <x v="0"/>
    <x v="1"/>
    <x v="3"/>
    <s v="January"/>
    <x v="1"/>
    <x v="2"/>
    <n v="8941"/>
  </r>
  <r>
    <x v="41"/>
    <x v="32"/>
    <x v="1"/>
    <x v="0"/>
    <x v="6"/>
    <x v="0"/>
    <s v="January"/>
    <x v="1"/>
    <x v="2"/>
    <n v="5341"/>
  </r>
  <r>
    <x v="42"/>
    <x v="33"/>
    <x v="2"/>
    <x v="1"/>
    <x v="2"/>
    <x v="2"/>
    <s v="January"/>
    <x v="1"/>
    <x v="2"/>
    <n v="135"/>
  </r>
  <r>
    <x v="43"/>
    <x v="33"/>
    <x v="2"/>
    <x v="1"/>
    <x v="4"/>
    <x v="0"/>
    <s v="January"/>
    <x v="1"/>
    <x v="2"/>
    <n v="9400"/>
  </r>
  <r>
    <x v="44"/>
    <x v="34"/>
    <x v="3"/>
    <x v="0"/>
    <x v="3"/>
    <x v="1"/>
    <s v="January"/>
    <x v="1"/>
    <x v="2"/>
    <n v="6045"/>
  </r>
  <r>
    <x v="45"/>
    <x v="35"/>
    <x v="5"/>
    <x v="1"/>
    <x v="5"/>
    <x v="3"/>
    <s v="February"/>
    <x v="1"/>
    <x v="2"/>
    <n v="5820"/>
  </r>
  <r>
    <x v="46"/>
    <x v="36"/>
    <x v="4"/>
    <x v="1"/>
    <x v="3"/>
    <x v="0"/>
    <s v="February"/>
    <x v="1"/>
    <x v="2"/>
    <n v="8887"/>
  </r>
  <r>
    <x v="47"/>
    <x v="37"/>
    <x v="4"/>
    <x v="1"/>
    <x v="0"/>
    <x v="1"/>
    <s v="February"/>
    <x v="1"/>
    <x v="2"/>
    <n v="6982"/>
  </r>
  <r>
    <x v="48"/>
    <x v="38"/>
    <x v="2"/>
    <x v="1"/>
    <x v="4"/>
    <x v="0"/>
    <s v="February"/>
    <x v="1"/>
    <x v="2"/>
    <n v="4029"/>
  </r>
  <r>
    <x v="49"/>
    <x v="38"/>
    <x v="0"/>
    <x v="0"/>
    <x v="3"/>
    <x v="3"/>
    <s v="February"/>
    <x v="1"/>
    <x v="2"/>
    <n v="3665"/>
  </r>
  <r>
    <x v="50"/>
    <x v="39"/>
    <x v="2"/>
    <x v="1"/>
    <x v="6"/>
    <x v="0"/>
    <s v="February"/>
    <x v="1"/>
    <x v="2"/>
    <n v="4781"/>
  </r>
  <r>
    <x v="51"/>
    <x v="40"/>
    <x v="6"/>
    <x v="1"/>
    <x v="4"/>
    <x v="2"/>
    <s v="February"/>
    <x v="1"/>
    <x v="2"/>
    <n v="3663"/>
  </r>
  <r>
    <x v="52"/>
    <x v="41"/>
    <x v="5"/>
    <x v="1"/>
    <x v="6"/>
    <x v="1"/>
    <s v="February"/>
    <x v="1"/>
    <x v="2"/>
    <n v="6331"/>
  </r>
  <r>
    <x v="53"/>
    <x v="42"/>
    <x v="5"/>
    <x v="1"/>
    <x v="2"/>
    <x v="0"/>
    <s v="February"/>
    <x v="1"/>
    <x v="2"/>
    <n v="4364"/>
  </r>
  <r>
    <x v="54"/>
    <x v="43"/>
    <x v="0"/>
    <x v="0"/>
    <x v="1"/>
    <x v="0"/>
    <s v="February"/>
    <x v="1"/>
    <x v="2"/>
    <n v="607"/>
  </r>
  <r>
    <x v="55"/>
    <x v="44"/>
    <x v="2"/>
    <x v="1"/>
    <x v="5"/>
    <x v="1"/>
    <s v="February"/>
    <x v="1"/>
    <x v="2"/>
    <n v="1054"/>
  </r>
  <r>
    <x v="56"/>
    <x v="45"/>
    <x v="0"/>
    <x v="0"/>
    <x v="0"/>
    <x v="0"/>
    <s v="February"/>
    <x v="1"/>
    <x v="2"/>
    <n v="7659"/>
  </r>
  <r>
    <x v="57"/>
    <x v="45"/>
    <x v="1"/>
    <x v="0"/>
    <x v="3"/>
    <x v="1"/>
    <s v="February"/>
    <x v="1"/>
    <x v="2"/>
    <n v="277"/>
  </r>
  <r>
    <x v="58"/>
    <x v="46"/>
    <x v="2"/>
    <x v="1"/>
    <x v="0"/>
    <x v="2"/>
    <s v="February"/>
    <x v="1"/>
    <x v="2"/>
    <n v="235"/>
  </r>
  <r>
    <x v="59"/>
    <x v="46"/>
    <x v="4"/>
    <x v="1"/>
    <x v="4"/>
    <x v="0"/>
    <s v="February"/>
    <x v="1"/>
    <x v="2"/>
    <n v="1113"/>
  </r>
  <r>
    <x v="60"/>
    <x v="47"/>
    <x v="5"/>
    <x v="1"/>
    <x v="0"/>
    <x v="1"/>
    <s v="February"/>
    <x v="1"/>
    <x v="2"/>
    <n v="1128"/>
  </r>
  <r>
    <x v="61"/>
    <x v="47"/>
    <x v="1"/>
    <x v="0"/>
    <x v="2"/>
    <x v="2"/>
    <s v="February"/>
    <x v="1"/>
    <x v="2"/>
    <n v="9231"/>
  </r>
  <r>
    <x v="62"/>
    <x v="48"/>
    <x v="2"/>
    <x v="1"/>
    <x v="0"/>
    <x v="3"/>
    <s v="March"/>
    <x v="1"/>
    <x v="2"/>
    <n v="4387"/>
  </r>
  <r>
    <x v="63"/>
    <x v="49"/>
    <x v="5"/>
    <x v="1"/>
    <x v="2"/>
    <x v="1"/>
    <s v="March"/>
    <x v="1"/>
    <x v="2"/>
    <n v="2763"/>
  </r>
  <r>
    <x v="64"/>
    <x v="50"/>
    <x v="2"/>
    <x v="1"/>
    <x v="1"/>
    <x v="0"/>
    <s v="March"/>
    <x v="1"/>
    <x v="2"/>
    <n v="7898"/>
  </r>
  <r>
    <x v="65"/>
    <x v="50"/>
    <x v="2"/>
    <x v="1"/>
    <x v="6"/>
    <x v="0"/>
    <s v="March"/>
    <x v="1"/>
    <x v="2"/>
    <n v="2427"/>
  </r>
  <r>
    <x v="66"/>
    <x v="50"/>
    <x v="2"/>
    <x v="1"/>
    <x v="5"/>
    <x v="0"/>
    <s v="March"/>
    <x v="1"/>
    <x v="2"/>
    <n v="8663"/>
  </r>
  <r>
    <x v="67"/>
    <x v="51"/>
    <x v="0"/>
    <x v="0"/>
    <x v="3"/>
    <x v="3"/>
    <s v="March"/>
    <x v="1"/>
    <x v="2"/>
    <n v="2789"/>
  </r>
  <r>
    <x v="68"/>
    <x v="52"/>
    <x v="2"/>
    <x v="1"/>
    <x v="0"/>
    <x v="0"/>
    <s v="March"/>
    <x v="1"/>
    <x v="2"/>
    <n v="4054"/>
  </r>
  <r>
    <x v="69"/>
    <x v="53"/>
    <x v="6"/>
    <x v="1"/>
    <x v="0"/>
    <x v="0"/>
    <s v="March"/>
    <x v="1"/>
    <x v="2"/>
    <n v="2262"/>
  </r>
  <r>
    <x v="70"/>
    <x v="54"/>
    <x v="6"/>
    <x v="1"/>
    <x v="1"/>
    <x v="0"/>
    <s v="March"/>
    <x v="1"/>
    <x v="2"/>
    <n v="5600"/>
  </r>
  <r>
    <x v="71"/>
    <x v="55"/>
    <x v="2"/>
    <x v="1"/>
    <x v="0"/>
    <x v="0"/>
    <s v="March"/>
    <x v="1"/>
    <x v="2"/>
    <n v="5787"/>
  </r>
  <r>
    <x v="72"/>
    <x v="56"/>
    <x v="4"/>
    <x v="1"/>
    <x v="2"/>
    <x v="0"/>
    <s v="March"/>
    <x v="1"/>
    <x v="2"/>
    <n v="6295"/>
  </r>
  <r>
    <x v="73"/>
    <x v="56"/>
    <x v="2"/>
    <x v="1"/>
    <x v="3"/>
    <x v="1"/>
    <s v="March"/>
    <x v="1"/>
    <x v="2"/>
    <n v="474"/>
  </r>
  <r>
    <x v="74"/>
    <x v="57"/>
    <x v="5"/>
    <x v="1"/>
    <x v="6"/>
    <x v="0"/>
    <s v="March"/>
    <x v="1"/>
    <x v="2"/>
    <n v="4325"/>
  </r>
  <r>
    <x v="75"/>
    <x v="57"/>
    <x v="2"/>
    <x v="1"/>
    <x v="0"/>
    <x v="3"/>
    <s v="March"/>
    <x v="1"/>
    <x v="2"/>
    <n v="592"/>
  </r>
  <r>
    <x v="76"/>
    <x v="58"/>
    <x v="4"/>
    <x v="1"/>
    <x v="0"/>
    <x v="2"/>
    <s v="March"/>
    <x v="1"/>
    <x v="2"/>
    <n v="4330"/>
  </r>
  <r>
    <x v="77"/>
    <x v="59"/>
    <x v="2"/>
    <x v="1"/>
    <x v="1"/>
    <x v="2"/>
    <s v="March"/>
    <x v="1"/>
    <x v="2"/>
    <n v="9405"/>
  </r>
  <r>
    <x v="78"/>
    <x v="60"/>
    <x v="5"/>
    <x v="1"/>
    <x v="6"/>
    <x v="2"/>
    <s v="March"/>
    <x v="1"/>
    <x v="2"/>
    <n v="7671"/>
  </r>
  <r>
    <x v="79"/>
    <x v="61"/>
    <x v="0"/>
    <x v="0"/>
    <x v="1"/>
    <x v="2"/>
    <s v="April"/>
    <x v="1"/>
    <x v="2"/>
    <n v="5791"/>
  </r>
  <r>
    <x v="80"/>
    <x v="61"/>
    <x v="2"/>
    <x v="1"/>
    <x v="2"/>
    <x v="2"/>
    <s v="April"/>
    <x v="1"/>
    <x v="2"/>
    <n v="6007"/>
  </r>
  <r>
    <x v="81"/>
    <x v="62"/>
    <x v="2"/>
    <x v="1"/>
    <x v="3"/>
    <x v="2"/>
    <s v="April"/>
    <x v="1"/>
    <x v="2"/>
    <n v="5030"/>
  </r>
  <r>
    <x v="82"/>
    <x v="62"/>
    <x v="0"/>
    <x v="0"/>
    <x v="1"/>
    <x v="2"/>
    <s v="April"/>
    <x v="1"/>
    <x v="2"/>
    <n v="6763"/>
  </r>
  <r>
    <x v="83"/>
    <x v="62"/>
    <x v="2"/>
    <x v="1"/>
    <x v="4"/>
    <x v="2"/>
    <s v="April"/>
    <x v="1"/>
    <x v="2"/>
    <n v="4248"/>
  </r>
  <r>
    <x v="84"/>
    <x v="63"/>
    <x v="2"/>
    <x v="1"/>
    <x v="6"/>
    <x v="2"/>
    <s v="April"/>
    <x v="1"/>
    <x v="2"/>
    <n v="9543"/>
  </r>
  <r>
    <x v="85"/>
    <x v="64"/>
    <x v="1"/>
    <x v="0"/>
    <x v="1"/>
    <x v="2"/>
    <s v="April"/>
    <x v="1"/>
    <x v="2"/>
    <n v="2054"/>
  </r>
  <r>
    <x v="86"/>
    <x v="65"/>
    <x v="3"/>
    <x v="0"/>
    <x v="3"/>
    <x v="2"/>
    <s v="April"/>
    <x v="1"/>
    <x v="2"/>
    <n v="7094"/>
  </r>
  <r>
    <x v="87"/>
    <x v="65"/>
    <x v="0"/>
    <x v="0"/>
    <x v="0"/>
    <x v="2"/>
    <s v="April"/>
    <x v="1"/>
    <x v="2"/>
    <n v="6087"/>
  </r>
  <r>
    <x v="88"/>
    <x v="66"/>
    <x v="5"/>
    <x v="1"/>
    <x v="4"/>
    <x v="2"/>
    <s v="April"/>
    <x v="1"/>
    <x v="2"/>
    <n v="4264"/>
  </r>
  <r>
    <x v="89"/>
    <x v="66"/>
    <x v="6"/>
    <x v="1"/>
    <x v="0"/>
    <x v="0"/>
    <s v="April"/>
    <x v="1"/>
    <x v="2"/>
    <n v="9333"/>
  </r>
  <r>
    <x v="90"/>
    <x v="67"/>
    <x v="6"/>
    <x v="1"/>
    <x v="3"/>
    <x v="2"/>
    <s v="April"/>
    <x v="1"/>
    <x v="2"/>
    <n v="8775"/>
  </r>
  <r>
    <x v="91"/>
    <x v="67"/>
    <x v="1"/>
    <x v="0"/>
    <x v="1"/>
    <x v="2"/>
    <s v="April"/>
    <x v="1"/>
    <x v="2"/>
    <n v="2011"/>
  </r>
  <r>
    <x v="92"/>
    <x v="68"/>
    <x v="2"/>
    <x v="1"/>
    <x v="0"/>
    <x v="2"/>
    <s v="April"/>
    <x v="1"/>
    <x v="2"/>
    <n v="5632"/>
  </r>
  <r>
    <x v="93"/>
    <x v="69"/>
    <x v="2"/>
    <x v="1"/>
    <x v="5"/>
    <x v="2"/>
    <s v="April"/>
    <x v="1"/>
    <x v="2"/>
    <n v="4904"/>
  </r>
  <r>
    <x v="94"/>
    <x v="69"/>
    <x v="3"/>
    <x v="0"/>
    <x v="4"/>
    <x v="0"/>
    <s v="April"/>
    <x v="1"/>
    <x v="2"/>
    <n v="1002"/>
  </r>
  <r>
    <x v="95"/>
    <x v="70"/>
    <x v="4"/>
    <x v="1"/>
    <x v="1"/>
    <x v="0"/>
    <s v="April"/>
    <x v="1"/>
    <x v="2"/>
    <n v="8141"/>
  </r>
  <r>
    <x v="96"/>
    <x v="71"/>
    <x v="4"/>
    <x v="1"/>
    <x v="2"/>
    <x v="0"/>
    <s v="April"/>
    <x v="1"/>
    <x v="2"/>
    <n v="3644"/>
  </r>
  <r>
    <x v="97"/>
    <x v="72"/>
    <x v="4"/>
    <x v="1"/>
    <x v="4"/>
    <x v="0"/>
    <s v="April"/>
    <x v="1"/>
    <x v="2"/>
    <n v="1380"/>
  </r>
  <r>
    <x v="98"/>
    <x v="72"/>
    <x v="1"/>
    <x v="0"/>
    <x v="3"/>
    <x v="0"/>
    <s v="April"/>
    <x v="1"/>
    <x v="2"/>
    <n v="8354"/>
  </r>
  <r>
    <x v="99"/>
    <x v="72"/>
    <x v="2"/>
    <x v="1"/>
    <x v="0"/>
    <x v="0"/>
    <s v="April"/>
    <x v="1"/>
    <x v="2"/>
    <n v="5182"/>
  </r>
  <r>
    <x v="100"/>
    <x v="73"/>
    <x v="5"/>
    <x v="1"/>
    <x v="6"/>
    <x v="0"/>
    <s v="April"/>
    <x v="1"/>
    <x v="2"/>
    <n v="2193"/>
  </r>
  <r>
    <x v="101"/>
    <x v="73"/>
    <x v="6"/>
    <x v="1"/>
    <x v="0"/>
    <x v="0"/>
    <s v="April"/>
    <x v="1"/>
    <x v="2"/>
    <n v="3647"/>
  </r>
  <r>
    <x v="102"/>
    <x v="74"/>
    <x v="5"/>
    <x v="1"/>
    <x v="0"/>
    <x v="0"/>
    <s v="April"/>
    <x v="1"/>
    <x v="2"/>
    <n v="4104"/>
  </r>
  <r>
    <x v="103"/>
    <x v="75"/>
    <x v="0"/>
    <x v="0"/>
    <x v="0"/>
    <x v="0"/>
    <s v="April"/>
    <x v="1"/>
    <x v="2"/>
    <n v="7457"/>
  </r>
  <r>
    <x v="104"/>
    <x v="76"/>
    <x v="6"/>
    <x v="1"/>
    <x v="2"/>
    <x v="0"/>
    <s v="May"/>
    <x v="1"/>
    <x v="3"/>
    <n v="3767"/>
  </r>
  <r>
    <x v="105"/>
    <x v="77"/>
    <x v="1"/>
    <x v="0"/>
    <x v="3"/>
    <x v="0"/>
    <s v="May"/>
    <x v="1"/>
    <x v="3"/>
    <n v="4685"/>
  </r>
  <r>
    <x v="106"/>
    <x v="78"/>
    <x v="2"/>
    <x v="1"/>
    <x v="0"/>
    <x v="0"/>
    <s v="May"/>
    <x v="1"/>
    <x v="3"/>
    <n v="3917"/>
  </r>
  <r>
    <x v="107"/>
    <x v="79"/>
    <x v="5"/>
    <x v="1"/>
    <x v="2"/>
    <x v="0"/>
    <s v="May"/>
    <x v="1"/>
    <x v="3"/>
    <n v="521"/>
  </r>
  <r>
    <x v="108"/>
    <x v="79"/>
    <x v="5"/>
    <x v="1"/>
    <x v="6"/>
    <x v="3"/>
    <s v="May"/>
    <x v="1"/>
    <x v="3"/>
    <n v="5605"/>
  </r>
  <r>
    <x v="109"/>
    <x v="79"/>
    <x v="1"/>
    <x v="0"/>
    <x v="3"/>
    <x v="0"/>
    <s v="May"/>
    <x v="1"/>
    <x v="3"/>
    <n v="9630"/>
  </r>
  <r>
    <x v="110"/>
    <x v="80"/>
    <x v="2"/>
    <x v="1"/>
    <x v="2"/>
    <x v="0"/>
    <s v="May"/>
    <x v="1"/>
    <x v="3"/>
    <n v="6941"/>
  </r>
  <r>
    <x v="111"/>
    <x v="81"/>
    <x v="1"/>
    <x v="0"/>
    <x v="1"/>
    <x v="0"/>
    <s v="May"/>
    <x v="1"/>
    <x v="3"/>
    <n v="7231"/>
  </r>
  <r>
    <x v="112"/>
    <x v="81"/>
    <x v="1"/>
    <x v="0"/>
    <x v="4"/>
    <x v="0"/>
    <s v="May"/>
    <x v="1"/>
    <x v="3"/>
    <n v="8891"/>
  </r>
  <r>
    <x v="113"/>
    <x v="81"/>
    <x v="2"/>
    <x v="1"/>
    <x v="6"/>
    <x v="0"/>
    <s v="May"/>
    <x v="1"/>
    <x v="3"/>
    <n v="107"/>
  </r>
  <r>
    <x v="114"/>
    <x v="82"/>
    <x v="2"/>
    <x v="1"/>
    <x v="0"/>
    <x v="0"/>
    <s v="May"/>
    <x v="1"/>
    <x v="3"/>
    <n v="4243"/>
  </r>
  <r>
    <x v="115"/>
    <x v="83"/>
    <x v="4"/>
    <x v="1"/>
    <x v="0"/>
    <x v="0"/>
    <s v="May"/>
    <x v="1"/>
    <x v="3"/>
    <n v="4514"/>
  </r>
  <r>
    <x v="116"/>
    <x v="84"/>
    <x v="6"/>
    <x v="1"/>
    <x v="0"/>
    <x v="0"/>
    <s v="May"/>
    <x v="1"/>
    <x v="3"/>
    <n v="5480"/>
  </r>
  <r>
    <x v="117"/>
    <x v="85"/>
    <x v="2"/>
    <x v="1"/>
    <x v="6"/>
    <x v="0"/>
    <s v="May"/>
    <x v="1"/>
    <x v="3"/>
    <n v="5002"/>
  </r>
  <r>
    <x v="118"/>
    <x v="86"/>
    <x v="2"/>
    <x v="1"/>
    <x v="2"/>
    <x v="0"/>
    <s v="May"/>
    <x v="1"/>
    <x v="3"/>
    <n v="8530"/>
  </r>
  <r>
    <x v="119"/>
    <x v="87"/>
    <x v="4"/>
    <x v="1"/>
    <x v="5"/>
    <x v="0"/>
    <s v="May"/>
    <x v="1"/>
    <x v="3"/>
    <n v="4819"/>
  </r>
  <r>
    <x v="120"/>
    <x v="88"/>
    <x v="1"/>
    <x v="0"/>
    <x v="1"/>
    <x v="3"/>
    <s v="May"/>
    <x v="1"/>
    <x v="3"/>
    <n v="6343"/>
  </r>
  <r>
    <x v="121"/>
    <x v="89"/>
    <x v="4"/>
    <x v="1"/>
    <x v="1"/>
    <x v="0"/>
    <s v="May"/>
    <x v="1"/>
    <x v="3"/>
    <n v="2318"/>
  </r>
  <r>
    <x v="122"/>
    <x v="90"/>
    <x v="4"/>
    <x v="1"/>
    <x v="1"/>
    <x v="0"/>
    <s v="May"/>
    <x v="1"/>
    <x v="3"/>
    <n v="220"/>
  </r>
  <r>
    <x v="123"/>
    <x v="90"/>
    <x v="4"/>
    <x v="1"/>
    <x v="5"/>
    <x v="3"/>
    <s v="May"/>
    <x v="1"/>
    <x v="3"/>
    <n v="6341"/>
  </r>
  <r>
    <x v="124"/>
    <x v="91"/>
    <x v="5"/>
    <x v="1"/>
    <x v="3"/>
    <x v="3"/>
    <s v="May"/>
    <x v="1"/>
    <x v="3"/>
    <n v="330"/>
  </r>
  <r>
    <x v="125"/>
    <x v="92"/>
    <x v="1"/>
    <x v="0"/>
    <x v="1"/>
    <x v="3"/>
    <s v="May"/>
    <x v="1"/>
    <x v="3"/>
    <n v="3027"/>
  </r>
  <r>
    <x v="126"/>
    <x v="93"/>
    <x v="4"/>
    <x v="1"/>
    <x v="5"/>
    <x v="2"/>
    <s v="May"/>
    <x v="1"/>
    <x v="3"/>
    <n v="850"/>
  </r>
  <r>
    <x v="127"/>
    <x v="94"/>
    <x v="2"/>
    <x v="1"/>
    <x v="1"/>
    <x v="3"/>
    <s v="May"/>
    <x v="1"/>
    <x v="3"/>
    <n v="8986"/>
  </r>
  <r>
    <x v="128"/>
    <x v="95"/>
    <x v="1"/>
    <x v="0"/>
    <x v="0"/>
    <x v="3"/>
    <s v="June"/>
    <x v="1"/>
    <x v="3"/>
    <n v="3800"/>
  </r>
  <r>
    <x v="129"/>
    <x v="96"/>
    <x v="0"/>
    <x v="0"/>
    <x v="1"/>
    <x v="3"/>
    <s v="June"/>
    <x v="1"/>
    <x v="3"/>
    <n v="5751"/>
  </r>
  <r>
    <x v="130"/>
    <x v="96"/>
    <x v="5"/>
    <x v="1"/>
    <x v="1"/>
    <x v="3"/>
    <s v="June"/>
    <x v="1"/>
    <x v="3"/>
    <n v="1704"/>
  </r>
  <r>
    <x v="131"/>
    <x v="97"/>
    <x v="2"/>
    <x v="1"/>
    <x v="4"/>
    <x v="2"/>
    <s v="June"/>
    <x v="1"/>
    <x v="3"/>
    <n v="7966"/>
  </r>
  <r>
    <x v="132"/>
    <x v="98"/>
    <x v="2"/>
    <x v="1"/>
    <x v="0"/>
    <x v="3"/>
    <s v="June"/>
    <x v="1"/>
    <x v="3"/>
    <n v="852"/>
  </r>
  <r>
    <x v="133"/>
    <x v="99"/>
    <x v="3"/>
    <x v="0"/>
    <x v="4"/>
    <x v="3"/>
    <s v="June"/>
    <x v="1"/>
    <x v="3"/>
    <n v="8416"/>
  </r>
  <r>
    <x v="134"/>
    <x v="99"/>
    <x v="2"/>
    <x v="1"/>
    <x v="6"/>
    <x v="3"/>
    <s v="June"/>
    <x v="1"/>
    <x v="3"/>
    <n v="7144"/>
  </r>
  <r>
    <x v="135"/>
    <x v="100"/>
    <x v="1"/>
    <x v="0"/>
    <x v="0"/>
    <x v="3"/>
    <s v="June"/>
    <x v="1"/>
    <x v="3"/>
    <n v="7854"/>
  </r>
  <r>
    <x v="136"/>
    <x v="101"/>
    <x v="4"/>
    <x v="1"/>
    <x v="0"/>
    <x v="3"/>
    <s v="June"/>
    <x v="1"/>
    <x v="3"/>
    <n v="859"/>
  </r>
  <r>
    <x v="137"/>
    <x v="102"/>
    <x v="1"/>
    <x v="0"/>
    <x v="0"/>
    <x v="0"/>
    <s v="June"/>
    <x v="1"/>
    <x v="3"/>
    <n v="8049"/>
  </r>
  <r>
    <x v="138"/>
    <x v="102"/>
    <x v="2"/>
    <x v="1"/>
    <x v="3"/>
    <x v="3"/>
    <s v="June"/>
    <x v="1"/>
    <x v="3"/>
    <n v="2836"/>
  </r>
  <r>
    <x v="139"/>
    <x v="102"/>
    <x v="0"/>
    <x v="0"/>
    <x v="0"/>
    <x v="3"/>
    <s v="June"/>
    <x v="1"/>
    <x v="3"/>
    <n v="1743"/>
  </r>
  <r>
    <x v="140"/>
    <x v="103"/>
    <x v="5"/>
    <x v="1"/>
    <x v="6"/>
    <x v="2"/>
    <s v="June"/>
    <x v="1"/>
    <x v="3"/>
    <n v="3844"/>
  </r>
  <r>
    <x v="141"/>
    <x v="104"/>
    <x v="5"/>
    <x v="1"/>
    <x v="6"/>
    <x v="2"/>
    <s v="June"/>
    <x v="1"/>
    <x v="3"/>
    <n v="7490"/>
  </r>
  <r>
    <x v="142"/>
    <x v="105"/>
    <x v="1"/>
    <x v="0"/>
    <x v="3"/>
    <x v="2"/>
    <s v="June"/>
    <x v="1"/>
    <x v="3"/>
    <n v="4483"/>
  </r>
  <r>
    <x v="143"/>
    <x v="106"/>
    <x v="5"/>
    <x v="1"/>
    <x v="2"/>
    <x v="2"/>
    <s v="July"/>
    <x v="1"/>
    <x v="0"/>
    <n v="7333"/>
  </r>
  <r>
    <x v="144"/>
    <x v="106"/>
    <x v="0"/>
    <x v="0"/>
    <x v="0"/>
    <x v="2"/>
    <s v="July"/>
    <x v="1"/>
    <x v="0"/>
    <n v="7654"/>
  </r>
  <r>
    <x v="145"/>
    <x v="107"/>
    <x v="5"/>
    <x v="1"/>
    <x v="1"/>
    <x v="2"/>
    <s v="July"/>
    <x v="1"/>
    <x v="0"/>
    <n v="3944"/>
  </r>
  <r>
    <x v="146"/>
    <x v="108"/>
    <x v="3"/>
    <x v="0"/>
    <x v="3"/>
    <x v="2"/>
    <s v="July"/>
    <x v="1"/>
    <x v="0"/>
    <n v="5761"/>
  </r>
  <r>
    <x v="147"/>
    <x v="109"/>
    <x v="2"/>
    <x v="1"/>
    <x v="5"/>
    <x v="0"/>
    <s v="July"/>
    <x v="1"/>
    <x v="0"/>
    <n v="6864"/>
  </r>
  <r>
    <x v="148"/>
    <x v="110"/>
    <x v="2"/>
    <x v="1"/>
    <x v="3"/>
    <x v="2"/>
    <s v="July"/>
    <x v="1"/>
    <x v="0"/>
    <n v="4016"/>
  </r>
  <r>
    <x v="149"/>
    <x v="111"/>
    <x v="2"/>
    <x v="1"/>
    <x v="0"/>
    <x v="2"/>
    <s v="July"/>
    <x v="1"/>
    <x v="0"/>
    <n v="1841"/>
  </r>
  <r>
    <x v="150"/>
    <x v="112"/>
    <x v="2"/>
    <x v="1"/>
    <x v="4"/>
    <x v="2"/>
    <s v="July"/>
    <x v="1"/>
    <x v="0"/>
    <n v="424"/>
  </r>
  <r>
    <x v="151"/>
    <x v="113"/>
    <x v="2"/>
    <x v="1"/>
    <x v="1"/>
    <x v="2"/>
    <s v="July"/>
    <x v="1"/>
    <x v="0"/>
    <n v="8765"/>
  </r>
  <r>
    <x v="152"/>
    <x v="114"/>
    <x v="2"/>
    <x v="1"/>
    <x v="0"/>
    <x v="0"/>
    <s v="July"/>
    <x v="1"/>
    <x v="0"/>
    <n v="5583"/>
  </r>
  <r>
    <x v="153"/>
    <x v="115"/>
    <x v="1"/>
    <x v="0"/>
    <x v="5"/>
    <x v="2"/>
    <s v="July"/>
    <x v="1"/>
    <x v="0"/>
    <n v="4390"/>
  </r>
  <r>
    <x v="154"/>
    <x v="116"/>
    <x v="1"/>
    <x v="0"/>
    <x v="2"/>
    <x v="0"/>
    <s v="August"/>
    <x v="1"/>
    <x v="0"/>
    <n v="352"/>
  </r>
  <r>
    <x v="155"/>
    <x v="117"/>
    <x v="5"/>
    <x v="1"/>
    <x v="0"/>
    <x v="0"/>
    <s v="August"/>
    <x v="1"/>
    <x v="0"/>
    <n v="8489"/>
  </r>
  <r>
    <x v="156"/>
    <x v="118"/>
    <x v="2"/>
    <x v="1"/>
    <x v="6"/>
    <x v="0"/>
    <s v="August"/>
    <x v="1"/>
    <x v="0"/>
    <n v="7090"/>
  </r>
  <r>
    <x v="157"/>
    <x v="119"/>
    <x v="2"/>
    <x v="1"/>
    <x v="0"/>
    <x v="0"/>
    <s v="August"/>
    <x v="1"/>
    <x v="0"/>
    <n v="7880"/>
  </r>
  <r>
    <x v="158"/>
    <x v="120"/>
    <x v="4"/>
    <x v="1"/>
    <x v="0"/>
    <x v="2"/>
    <s v="August"/>
    <x v="1"/>
    <x v="0"/>
    <n v="3861"/>
  </r>
  <r>
    <x v="159"/>
    <x v="120"/>
    <x v="1"/>
    <x v="0"/>
    <x v="3"/>
    <x v="0"/>
    <s v="August"/>
    <x v="1"/>
    <x v="0"/>
    <n v="7927"/>
  </r>
  <r>
    <x v="160"/>
    <x v="121"/>
    <x v="2"/>
    <x v="1"/>
    <x v="0"/>
    <x v="0"/>
    <s v="August"/>
    <x v="1"/>
    <x v="0"/>
    <n v="6162"/>
  </r>
  <r>
    <x v="161"/>
    <x v="122"/>
    <x v="6"/>
    <x v="1"/>
    <x v="4"/>
    <x v="0"/>
    <s v="August"/>
    <x v="1"/>
    <x v="0"/>
    <n v="5523"/>
  </r>
  <r>
    <x v="162"/>
    <x v="123"/>
    <x v="1"/>
    <x v="0"/>
    <x v="1"/>
    <x v="0"/>
    <s v="August"/>
    <x v="1"/>
    <x v="0"/>
    <n v="5936"/>
  </r>
  <r>
    <x v="163"/>
    <x v="123"/>
    <x v="0"/>
    <x v="0"/>
    <x v="3"/>
    <x v="0"/>
    <s v="August"/>
    <x v="1"/>
    <x v="0"/>
    <n v="7251"/>
  </r>
  <r>
    <x v="164"/>
    <x v="124"/>
    <x v="4"/>
    <x v="1"/>
    <x v="4"/>
    <x v="0"/>
    <s v="August"/>
    <x v="1"/>
    <x v="0"/>
    <n v="6187"/>
  </r>
  <r>
    <x v="165"/>
    <x v="125"/>
    <x v="2"/>
    <x v="1"/>
    <x v="3"/>
    <x v="1"/>
    <s v="August"/>
    <x v="1"/>
    <x v="0"/>
    <n v="3210"/>
  </r>
  <r>
    <x v="166"/>
    <x v="126"/>
    <x v="0"/>
    <x v="0"/>
    <x v="3"/>
    <x v="1"/>
    <s v="August"/>
    <x v="1"/>
    <x v="0"/>
    <n v="682"/>
  </r>
  <r>
    <x v="167"/>
    <x v="127"/>
    <x v="2"/>
    <x v="1"/>
    <x v="4"/>
    <x v="1"/>
    <s v="August"/>
    <x v="1"/>
    <x v="0"/>
    <n v="793"/>
  </r>
  <r>
    <x v="168"/>
    <x v="128"/>
    <x v="0"/>
    <x v="0"/>
    <x v="3"/>
    <x v="1"/>
    <s v="August"/>
    <x v="1"/>
    <x v="0"/>
    <n v="5346"/>
  </r>
  <r>
    <x v="169"/>
    <x v="129"/>
    <x v="2"/>
    <x v="1"/>
    <x v="5"/>
    <x v="1"/>
    <s v="August"/>
    <x v="1"/>
    <x v="0"/>
    <n v="7103"/>
  </r>
  <r>
    <x v="170"/>
    <x v="130"/>
    <x v="0"/>
    <x v="0"/>
    <x v="0"/>
    <x v="1"/>
    <s v="August"/>
    <x v="1"/>
    <x v="0"/>
    <n v="4603"/>
  </r>
  <r>
    <x v="171"/>
    <x v="131"/>
    <x v="5"/>
    <x v="1"/>
    <x v="6"/>
    <x v="1"/>
    <s v="September"/>
    <x v="1"/>
    <x v="0"/>
    <n v="8160"/>
  </r>
  <r>
    <x v="172"/>
    <x v="132"/>
    <x v="5"/>
    <x v="1"/>
    <x v="1"/>
    <x v="1"/>
    <s v="September"/>
    <x v="1"/>
    <x v="0"/>
    <n v="7171"/>
  </r>
  <r>
    <x v="173"/>
    <x v="133"/>
    <x v="2"/>
    <x v="1"/>
    <x v="5"/>
    <x v="0"/>
    <s v="September"/>
    <x v="1"/>
    <x v="0"/>
    <n v="3552"/>
  </r>
  <r>
    <x v="174"/>
    <x v="134"/>
    <x v="2"/>
    <x v="1"/>
    <x v="4"/>
    <x v="1"/>
    <s v="September"/>
    <x v="1"/>
    <x v="0"/>
    <n v="7273"/>
  </r>
  <r>
    <x v="175"/>
    <x v="135"/>
    <x v="2"/>
    <x v="1"/>
    <x v="3"/>
    <x v="1"/>
    <s v="September"/>
    <x v="1"/>
    <x v="0"/>
    <n v="2402"/>
  </r>
  <r>
    <x v="176"/>
    <x v="135"/>
    <x v="2"/>
    <x v="1"/>
    <x v="4"/>
    <x v="2"/>
    <s v="September"/>
    <x v="1"/>
    <x v="0"/>
    <n v="1197"/>
  </r>
  <r>
    <x v="177"/>
    <x v="136"/>
    <x v="3"/>
    <x v="0"/>
    <x v="4"/>
    <x v="2"/>
    <s v="September"/>
    <x v="1"/>
    <x v="0"/>
    <n v="5015"/>
  </r>
  <r>
    <x v="178"/>
    <x v="136"/>
    <x v="4"/>
    <x v="1"/>
    <x v="0"/>
    <x v="2"/>
    <s v="September"/>
    <x v="1"/>
    <x v="0"/>
    <n v="5818"/>
  </r>
  <r>
    <x v="179"/>
    <x v="136"/>
    <x v="2"/>
    <x v="1"/>
    <x v="1"/>
    <x v="2"/>
    <s v="September"/>
    <x v="1"/>
    <x v="0"/>
    <n v="4399"/>
  </r>
  <r>
    <x v="180"/>
    <x v="136"/>
    <x v="0"/>
    <x v="0"/>
    <x v="0"/>
    <x v="2"/>
    <s v="September"/>
    <x v="1"/>
    <x v="0"/>
    <n v="3011"/>
  </r>
  <r>
    <x v="181"/>
    <x v="136"/>
    <x v="5"/>
    <x v="1"/>
    <x v="1"/>
    <x v="2"/>
    <s v="September"/>
    <x v="1"/>
    <x v="0"/>
    <n v="4715"/>
  </r>
  <r>
    <x v="182"/>
    <x v="137"/>
    <x v="5"/>
    <x v="1"/>
    <x v="6"/>
    <x v="2"/>
    <s v="September"/>
    <x v="1"/>
    <x v="0"/>
    <n v="5321"/>
  </r>
  <r>
    <x v="183"/>
    <x v="138"/>
    <x v="2"/>
    <x v="1"/>
    <x v="0"/>
    <x v="2"/>
    <s v="September"/>
    <x v="1"/>
    <x v="0"/>
    <n v="8894"/>
  </r>
  <r>
    <x v="184"/>
    <x v="139"/>
    <x v="0"/>
    <x v="0"/>
    <x v="1"/>
    <x v="0"/>
    <s v="September"/>
    <x v="1"/>
    <x v="0"/>
    <n v="4846"/>
  </r>
  <r>
    <x v="185"/>
    <x v="139"/>
    <x v="1"/>
    <x v="0"/>
    <x v="3"/>
    <x v="1"/>
    <s v="September"/>
    <x v="1"/>
    <x v="0"/>
    <n v="284"/>
  </r>
  <r>
    <x v="186"/>
    <x v="140"/>
    <x v="4"/>
    <x v="1"/>
    <x v="1"/>
    <x v="3"/>
    <s v="September"/>
    <x v="1"/>
    <x v="0"/>
    <n v="8283"/>
  </r>
  <r>
    <x v="187"/>
    <x v="141"/>
    <x v="4"/>
    <x v="1"/>
    <x v="2"/>
    <x v="3"/>
    <s v="September"/>
    <x v="1"/>
    <x v="0"/>
    <n v="9990"/>
  </r>
  <r>
    <x v="188"/>
    <x v="142"/>
    <x v="2"/>
    <x v="1"/>
    <x v="4"/>
    <x v="3"/>
    <s v="Sept ember"/>
    <x v="1"/>
    <x v="0"/>
    <n v="9014"/>
  </r>
  <r>
    <x v="189"/>
    <x v="142"/>
    <x v="5"/>
    <x v="1"/>
    <x v="6"/>
    <x v="3"/>
    <s v="September"/>
    <x v="1"/>
    <x v="0"/>
    <n v="1942"/>
  </r>
  <r>
    <x v="190"/>
    <x v="142"/>
    <x v="2"/>
    <x v="1"/>
    <x v="0"/>
    <x v="2"/>
    <s v="September"/>
    <x v="1"/>
    <x v="0"/>
    <n v="7223"/>
  </r>
  <r>
    <x v="191"/>
    <x v="143"/>
    <x v="0"/>
    <x v="0"/>
    <x v="0"/>
    <x v="2"/>
    <s v="September"/>
    <x v="1"/>
    <x v="0"/>
    <n v="4673"/>
  </r>
  <r>
    <x v="192"/>
    <x v="144"/>
    <x v="0"/>
    <x v="0"/>
    <x v="6"/>
    <x v="2"/>
    <s v="September"/>
    <x v="1"/>
    <x v="0"/>
    <n v="9104"/>
  </r>
  <r>
    <x v="193"/>
    <x v="145"/>
    <x v="5"/>
    <x v="1"/>
    <x v="0"/>
    <x v="2"/>
    <s v="September"/>
    <x v="1"/>
    <x v="0"/>
    <n v="6078"/>
  </r>
  <r>
    <x v="194"/>
    <x v="145"/>
    <x v="3"/>
    <x v="0"/>
    <x v="3"/>
    <x v="2"/>
    <s v="September"/>
    <x v="1"/>
    <x v="0"/>
    <n v="3278"/>
  </r>
  <r>
    <x v="195"/>
    <x v="146"/>
    <x v="2"/>
    <x v="1"/>
    <x v="2"/>
    <x v="0"/>
    <s v="September"/>
    <x v="1"/>
    <x v="0"/>
    <n v="136"/>
  </r>
  <r>
    <x v="196"/>
    <x v="146"/>
    <x v="2"/>
    <x v="1"/>
    <x v="4"/>
    <x v="0"/>
    <s v="September"/>
    <x v="1"/>
    <x v="0"/>
    <n v="8377"/>
  </r>
  <r>
    <x v="197"/>
    <x v="147"/>
    <x v="2"/>
    <x v="1"/>
    <x v="0"/>
    <x v="0"/>
    <s v="September"/>
    <x v="1"/>
    <x v="0"/>
    <n v="2382"/>
  </r>
  <r>
    <x v="198"/>
    <x v="148"/>
    <x v="2"/>
    <x v="1"/>
    <x v="3"/>
    <x v="0"/>
    <s v="September"/>
    <x v="1"/>
    <x v="0"/>
    <n v="8702"/>
  </r>
  <r>
    <x v="199"/>
    <x v="149"/>
    <x v="2"/>
    <x v="1"/>
    <x v="0"/>
    <x v="0"/>
    <s v="October"/>
    <x v="1"/>
    <x v="1"/>
    <n v="5021"/>
  </r>
  <r>
    <x v="200"/>
    <x v="149"/>
    <x v="5"/>
    <x v="1"/>
    <x v="4"/>
    <x v="0"/>
    <s v="October"/>
    <x v="1"/>
    <x v="1"/>
    <n v="1760"/>
  </r>
  <r>
    <x v="201"/>
    <x v="150"/>
    <x v="2"/>
    <x v="1"/>
    <x v="3"/>
    <x v="0"/>
    <s v="October"/>
    <x v="1"/>
    <x v="1"/>
    <n v="4766"/>
  </r>
  <r>
    <x v="202"/>
    <x v="150"/>
    <x v="3"/>
    <x v="0"/>
    <x v="1"/>
    <x v="0"/>
    <s v="October"/>
    <x v="1"/>
    <x v="1"/>
    <n v="1541"/>
  </r>
  <r>
    <x v="203"/>
    <x v="150"/>
    <x v="4"/>
    <x v="1"/>
    <x v="1"/>
    <x v="0"/>
    <s v="October"/>
    <x v="1"/>
    <x v="1"/>
    <n v="2782"/>
  </r>
  <r>
    <x v="204"/>
    <x v="151"/>
    <x v="5"/>
    <x v="1"/>
    <x v="2"/>
    <x v="0"/>
    <s v="October"/>
    <x v="1"/>
    <x v="1"/>
    <n v="2455"/>
  </r>
  <r>
    <x v="205"/>
    <x v="151"/>
    <x v="5"/>
    <x v="1"/>
    <x v="5"/>
    <x v="0"/>
    <s v="October"/>
    <x v="1"/>
    <x v="1"/>
    <n v="4512"/>
  </r>
  <r>
    <x v="206"/>
    <x v="151"/>
    <x v="5"/>
    <x v="1"/>
    <x v="3"/>
    <x v="0"/>
    <s v="October"/>
    <x v="1"/>
    <x v="1"/>
    <n v="8752"/>
  </r>
  <r>
    <x v="207"/>
    <x v="152"/>
    <x v="0"/>
    <x v="0"/>
    <x v="0"/>
    <x v="0"/>
    <s v="October"/>
    <x v="1"/>
    <x v="1"/>
    <n v="9127"/>
  </r>
  <r>
    <x v="208"/>
    <x v="153"/>
    <x v="5"/>
    <x v="1"/>
    <x v="6"/>
    <x v="0"/>
    <s v="October"/>
    <x v="1"/>
    <x v="1"/>
    <n v="1777"/>
  </r>
  <r>
    <x v="209"/>
    <x v="153"/>
    <x v="3"/>
    <x v="0"/>
    <x v="6"/>
    <x v="0"/>
    <s v="October"/>
    <x v="1"/>
    <x v="1"/>
    <n v="680"/>
  </r>
  <r>
    <x v="210"/>
    <x v="154"/>
    <x v="4"/>
    <x v="1"/>
    <x v="0"/>
    <x v="0"/>
    <s v="October"/>
    <x v="1"/>
    <x v="1"/>
    <n v="958"/>
  </r>
  <r>
    <x v="211"/>
    <x v="155"/>
    <x v="0"/>
    <x v="0"/>
    <x v="4"/>
    <x v="0"/>
    <s v="October"/>
    <x v="1"/>
    <x v="1"/>
    <n v="2613"/>
  </r>
  <r>
    <x v="212"/>
    <x v="156"/>
    <x v="0"/>
    <x v="0"/>
    <x v="4"/>
    <x v="2"/>
    <s v="October"/>
    <x v="1"/>
    <x v="1"/>
    <n v="339"/>
  </r>
  <r>
    <x v="213"/>
    <x v="157"/>
    <x v="2"/>
    <x v="1"/>
    <x v="7"/>
    <x v="2"/>
    <s v="October"/>
    <x v="0"/>
    <x v="2"/>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sales for EA Qt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Quarter">
  <location ref="D17:E22" firstHeaderRow="1" firstDataRow="1" firstDataCol="1" rowPageCount="1" colPageCount="1"/>
  <pivotFields count="13">
    <pivotField showAll="0"/>
    <pivotField axis="axisRow" numFmtId="14" showAll="0">
      <items count="15">
        <item x="0"/>
        <item x="1"/>
        <item x="2"/>
        <item x="3"/>
        <item x="4"/>
        <item x="5"/>
        <item x="6"/>
        <item x="7"/>
        <item x="8"/>
        <item x="9"/>
        <item x="10"/>
        <item x="11"/>
        <item x="12"/>
        <item x="13"/>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axis="axisPage" showAll="0">
      <items count="3">
        <item x="0"/>
        <item x="1"/>
        <item t="default"/>
      </items>
    </pivotField>
    <pivotField showAll="0">
      <items count="5">
        <item x="2"/>
        <item x="3"/>
        <item x="0"/>
        <item x="1"/>
        <item t="default"/>
      </items>
    </pivotField>
    <pivotField dataField="1" numFmtId="164" showAll="0"/>
    <pivotField dragToRow="0" dragToCol="0" dragToPage="0" showAll="0" defaultSubtotal="0"/>
    <pivotField axis="axisRow"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1"/>
    <field x="1"/>
  </rowFields>
  <rowItems count="5">
    <i>
      <x v="1"/>
    </i>
    <i>
      <x v="2"/>
    </i>
    <i>
      <x v="3"/>
    </i>
    <i>
      <x v="4"/>
    </i>
    <i t="grand">
      <x/>
    </i>
  </rowItems>
  <colItems count="1">
    <i/>
  </colItems>
  <pageFields count="1">
    <pageField fld="7" hier="-1"/>
  </pageFields>
  <dataFields count="1">
    <dataField name="Sum of Amount" fld="9" baseField="0" baseItem="0"/>
  </dataFields>
  <formats count="8">
    <format dxfId="7">
      <pivotArea collapsedLevelsAreSubtotals="1" fieldPosition="0">
        <references count="1">
          <reference field="11" count="1">
            <x v="1"/>
          </reference>
        </references>
      </pivotArea>
    </format>
    <format dxfId="6">
      <pivotArea collapsedLevelsAreSubtotals="1" fieldPosition="0">
        <references count="1">
          <reference field="11" count="1">
            <x v="2"/>
          </reference>
        </references>
      </pivotArea>
    </format>
    <format dxfId="5">
      <pivotArea collapsedLevelsAreSubtotals="1" fieldPosition="0">
        <references count="1">
          <reference field="11" count="1">
            <x v="3"/>
          </reference>
        </references>
      </pivotArea>
    </format>
    <format dxfId="4">
      <pivotArea collapsedLevelsAreSubtotals="1" fieldPosition="0">
        <references count="1">
          <reference field="11" count="1">
            <x v="4"/>
          </reference>
        </references>
      </pivotArea>
    </format>
    <format dxfId="3">
      <pivotArea collapsedLevelsAreSubtotals="1" fieldPosition="0">
        <references count="1">
          <reference field="11" count="1">
            <x v="1"/>
          </reference>
        </references>
      </pivotArea>
    </format>
    <format dxfId="2">
      <pivotArea collapsedLevelsAreSubtotals="1" fieldPosition="0">
        <references count="1">
          <reference field="11" count="1">
            <x v="2"/>
          </reference>
        </references>
      </pivotArea>
    </format>
    <format dxfId="1">
      <pivotArea collapsedLevelsAreSubtotals="1" fieldPosition="0">
        <references count="1">
          <reference field="11" count="1">
            <x v="3"/>
          </reference>
        </references>
      </pivotArea>
    </format>
    <format dxfId="0">
      <pivotArea collapsedLevelsAreSubtotals="1" fieldPosition="0">
        <references count="1">
          <reference field="11" count="1">
            <x v="4"/>
          </reference>
        </references>
      </pivotArea>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Average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Region">
  <location ref="J19:J20" firstHeaderRow="1"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Average of Amount" fld="9" subtotal="average" baseField="0" baseItem="0" numFmtId="165"/>
  </dataFields>
  <formats count="13">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 order for reg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rowHeaderCaption="Region">
  <location ref="M4:N9" firstHeaderRow="1" firstDataRow="1" firstDataCol="1"/>
  <pivotFields count="13">
    <pivotField dataField="1" showAll="0">
      <items count="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umFmtId="14" showAll="0">
      <items count="15">
        <item x="0"/>
        <item x="1"/>
        <item x="2"/>
        <item x="3"/>
        <item x="4"/>
        <item x="5"/>
        <item x="6"/>
        <item x="7"/>
        <item x="8"/>
        <item x="9"/>
        <item x="10"/>
        <item x="11"/>
        <item x="12"/>
        <item x="13"/>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axis="axisRow"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numFmtId="164" showAll="0"/>
    <pivotField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Fields count="1">
    <field x="5"/>
  </rowFields>
  <rowItems count="5">
    <i>
      <x/>
    </i>
    <i>
      <x v="1"/>
    </i>
    <i>
      <x v="2"/>
    </i>
    <i>
      <x v="3"/>
    </i>
    <i t="grand">
      <x/>
    </i>
  </rowItems>
  <colItems count="1">
    <i/>
  </colItems>
  <dataFields count="1">
    <dataField name="Sum of Order ID" fld="0" baseField="0" baseItem="0"/>
  </dataFields>
  <chartFormats count="5">
    <chartFormat chart="14" format="246" series="1">
      <pivotArea type="data" outline="0" fieldPosition="0">
        <references count="1">
          <reference field="4294967294" count="1" selected="0">
            <x v="0"/>
          </reference>
        </references>
      </pivotArea>
    </chartFormat>
    <chartFormat chart="14" format="247">
      <pivotArea type="data" outline="0" fieldPosition="0">
        <references count="2">
          <reference field="4294967294" count="1" selected="0">
            <x v="0"/>
          </reference>
          <reference field="5" count="1" selected="0">
            <x v="0"/>
          </reference>
        </references>
      </pivotArea>
    </chartFormat>
    <chartFormat chart="14" format="248">
      <pivotArea type="data" outline="0" fieldPosition="0">
        <references count="2">
          <reference field="4294967294" count="1" selected="0">
            <x v="0"/>
          </reference>
          <reference field="5" count="1" selected="0">
            <x v="1"/>
          </reference>
        </references>
      </pivotArea>
    </chartFormat>
    <chartFormat chart="14" format="249">
      <pivotArea type="data" outline="0" fieldPosition="0">
        <references count="2">
          <reference field="4294967294" count="1" selected="0">
            <x v="0"/>
          </reference>
          <reference field="5" count="1" selected="0">
            <x v="2"/>
          </reference>
        </references>
      </pivotArea>
    </chartFormat>
    <chartFormat chart="14" format="25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location ref="A3:D11" firstHeaderRow="0" firstDataRow="1" firstDataCol="1" rowPageCount="1" colPageCount="1"/>
  <pivotFields count="13">
    <pivotField showAll="0"/>
    <pivotField numFmtId="14" showAll="0">
      <items count="15">
        <item x="0"/>
        <item x="1"/>
        <item x="2"/>
        <item x="3"/>
        <item x="4"/>
        <item x="5"/>
        <item x="6"/>
        <item x="7"/>
        <item x="8"/>
        <item x="9"/>
        <item x="10"/>
        <item x="11"/>
        <item x="12"/>
        <item x="13"/>
        <item t="default"/>
      </items>
    </pivotField>
    <pivotField axis="axisRow"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pivotField showAll="0"/>
    <pivotField axis="axisPage" showAll="0">
      <items count="3">
        <item x="0"/>
        <item x="1"/>
        <item t="default"/>
      </items>
    </pivotField>
    <pivotField showAll="0">
      <items count="5">
        <item x="2"/>
        <item x="3"/>
        <item x="0"/>
        <item x="1"/>
        <item t="default"/>
      </items>
    </pivotField>
    <pivotField dataField="1" numFmtId="164" showAll="0"/>
    <pivotField dataField="1"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Fields count="1">
    <field x="2"/>
  </rowFields>
  <rowItems count="8">
    <i>
      <x/>
    </i>
    <i>
      <x v="1"/>
    </i>
    <i>
      <x v="2"/>
    </i>
    <i>
      <x v="3"/>
    </i>
    <i>
      <x v="4"/>
    </i>
    <i>
      <x v="5"/>
    </i>
    <i>
      <x v="6"/>
    </i>
    <i t="grand">
      <x/>
    </i>
  </rowItems>
  <colFields count="1">
    <field x="-2"/>
  </colFields>
  <colItems count="3">
    <i>
      <x/>
    </i>
    <i i="1">
      <x v="1"/>
    </i>
    <i i="2">
      <x v="2"/>
    </i>
  </colItems>
  <pageFields count="1">
    <pageField fld="7" hier="-1"/>
  </pageFields>
  <dataFields count="3">
    <dataField name="Sum of Amount" fld="9" baseField="0" baseItem="0"/>
    <dataField name="% of Amount2" fld="9" showDataAs="percentOfTotal" baseField="0" baseItem="0" numFmtId="10"/>
    <dataField name="Sum of Tax" fld="10" baseField="0" baseItem="0" numFmtId="164"/>
  </dataFields>
  <formats count="1">
    <format dxfId="21">
      <pivotArea collapsedLevelsAreSubtotals="1" fieldPosition="0">
        <references count="2">
          <reference field="4294967294" count="1" selected="0">
            <x v="0"/>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sales for EA month"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Month">
  <location ref="D25:E38"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dragToRow="0" dragToCol="0" dragToPage="0" showAll="0" defaultSubtota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9" baseField="0" baseItem="0"/>
  </dataFields>
  <chartFormats count="3">
    <chartFormat chart="1"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Region">
  <location ref="L19:L20" firstHeaderRow="1" firstDataRow="1" firstDataCol="0"/>
  <pivotFields count="13">
    <pivotField dataField="1" showAll="0"/>
    <pivotField numFmtId="14" showAll="0">
      <items count="15">
        <item x="0"/>
        <item x="1"/>
        <item x="2"/>
        <item x="3"/>
        <item x="4"/>
        <item x="5"/>
        <item x="6"/>
        <item x="7"/>
        <item x="8"/>
        <item x="9"/>
        <item x="10"/>
        <item x="11"/>
        <item x="12"/>
        <item x="13"/>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numFmtId="164" showAll="0"/>
    <pivotField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Count of Order ID" fld="0" subtotal="count" baseField="0" baseItem="0"/>
  </dataFields>
  <chartFormats count="2">
    <chartFormat chart="0" format="1"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 sales for EA regio"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H4:J9" firstHeaderRow="0"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axis="axisRow"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dataField="1"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Fields count="1">
    <field x="5"/>
  </rowFields>
  <rowItems count="5">
    <i>
      <x/>
    </i>
    <i>
      <x v="1"/>
    </i>
    <i>
      <x v="2"/>
    </i>
    <i>
      <x v="3"/>
    </i>
    <i t="grand">
      <x/>
    </i>
  </rowItems>
  <colFields count="1">
    <field x="-2"/>
  </colFields>
  <colItems count="2">
    <i>
      <x/>
    </i>
    <i i="1">
      <x v="1"/>
    </i>
  </colItems>
  <dataFields count="2">
    <dataField name="Sum of Tax" fld="10" baseField="0" baseItem="0" numFmtId="164"/>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Region">
  <location ref="H19:H20" firstHeaderRow="1"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Sum of Amount" fld="9" baseField="0" baseItem="0" numFmtId="43"/>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 sales for EA count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Country">
  <location ref="A17:B26"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8">
        <item x="5"/>
        <item x="2"/>
        <item x="3"/>
        <item x="1"/>
        <item x="0"/>
        <item x="6"/>
        <item x="4"/>
        <item t="default"/>
      </items>
    </pivotField>
    <pivotField axis="axisRow" showAll="0">
      <items count="3">
        <item x="1"/>
        <item x="0"/>
        <item t="default"/>
      </items>
    </pivotField>
    <pivotField axis="axisRow" showAll="0">
      <items count="9">
        <item sd="0" x="4"/>
        <item sd="0" x="2"/>
        <item sd="0" x="7"/>
        <item sd="0" x="6"/>
        <item sd="0" x="3"/>
        <item sd="0" x="5"/>
        <item sd="0" x="1"/>
        <item sd="0" x="0"/>
        <item t="default" sd="0"/>
      </items>
    </pivotField>
    <pivotField multipleItemSelectionAllowed="1"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dragToRow="0" dragToCol="0" dragToPage="0" showAll="0" defaultSubtotal="0"/>
    <pivotField showAll="0" defaultSubtotal="0">
      <items count="6">
        <item x="0"/>
        <item x="1"/>
        <item x="2"/>
        <item x="3"/>
        <item x="4"/>
        <item x="5"/>
      </items>
    </pivotField>
    <pivotField showAll="0" defaultSubtotal="0">
      <items count="4">
        <item x="0"/>
        <item x="1"/>
        <item x="2"/>
        <item x="3"/>
      </items>
    </pivotField>
  </pivotFields>
  <rowFields count="2">
    <field x="4"/>
    <field x="3"/>
  </rowFields>
  <rowItems count="9">
    <i>
      <x/>
    </i>
    <i>
      <x v="1"/>
    </i>
    <i>
      <x v="2"/>
    </i>
    <i>
      <x v="3"/>
    </i>
    <i>
      <x v="4"/>
    </i>
    <i>
      <x v="5"/>
    </i>
    <i>
      <x v="6"/>
    </i>
    <i>
      <x v="7"/>
    </i>
    <i t="grand">
      <x/>
    </i>
  </rowItems>
  <colItems count="1">
    <i/>
  </colItems>
  <dataFields count="1">
    <dataField name="Sum of Amount" fld="9" baseField="0" baseItem="0"/>
  </dataFields>
  <chartFormats count="2">
    <chartFormat chart="0"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Total sales for EA Qtr"/>
    <pivotTable tabId="2" name="# order for region"/>
    <pivotTable tabId="2" name="# sales"/>
    <pivotTable tabId="2" name="Average sales"/>
    <pivotTable tabId="2" name="PivotTable1"/>
    <pivotTable tabId="2" name="Total sales"/>
    <pivotTable tabId="2" name="Total sales for EA country"/>
    <pivotTable tabId="2" name="Total sales for EA month"/>
    <pivotTable tabId="2" name="Total sales for EA regio"/>
  </pivotTables>
  <data>
    <tabular pivotCacheId="1">
      <items count="7">
        <i x="5" s="1"/>
        <i x="2" s="1"/>
        <i x="3" s="1"/>
        <i x="1" s="1"/>
        <i x="0" s="1"/>
        <i x="6" s="1"/>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Total sales for EA Qtr"/>
    <pivotTable tabId="2" name="# order for region"/>
    <pivotTable tabId="2" name="# sales"/>
    <pivotTable tabId="2" name="Average sales"/>
    <pivotTable tabId="2" name="PivotTable1"/>
    <pivotTable tabId="2" name="Total sales"/>
    <pivotTable tabId="2" name="Total sales for EA country"/>
    <pivotTable tabId="2" name="Total sales for EA month"/>
    <pivotTable tabId="2" name="Total sales for EA regio"/>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Total sales for EA Qtr"/>
    <pivotTable tabId="2" name="# order for region"/>
    <pivotTable tabId="2" name="# sales"/>
    <pivotTable tabId="2" name="Average sales"/>
    <pivotTable tabId="2" name="PivotTable1"/>
    <pivotTable tabId="2" name="Total sales"/>
    <pivotTable tabId="2" name="Total sales for EA country"/>
    <pivotTable tabId="2" name="Total sales for EA month"/>
    <pivotTable tabId="2" name="Total sales for EA regio"/>
  </pivotTables>
  <data>
    <tabular pivotCacheId="1">
      <items count="8">
        <i x="4" s="1"/>
        <i x="2" s="1"/>
        <i x="7" s="1"/>
        <i x="6" s="1"/>
        <i x="3" s="1"/>
        <i x="5"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2" name="Total sales for EA Qtr"/>
    <pivotTable tabId="2" name="# order for region"/>
    <pivotTable tabId="2" name="# sales"/>
    <pivotTable tabId="2" name="Average sales"/>
    <pivotTable tabId="2" name="PivotTable1"/>
    <pivotTable tabId="2" name="Total sales"/>
    <pivotTable tabId="2" name="Total sales for EA country"/>
    <pivotTable tabId="2" name="Total sales for EA month"/>
    <pivotTable tabId="2" name="Total sales for EA regio"/>
  </pivotTables>
  <data>
    <tabular pivotCacheId="1">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Total sales for EA Qtr"/>
    <pivotTable tabId="2" name="# order for region"/>
    <pivotTable tabId="2" name="# sales"/>
    <pivotTable tabId="2" name="Average sales"/>
    <pivotTable tabId="2" name="PivotTable1"/>
    <pivotTable tabId="2" name="Total sales"/>
    <pivotTable tabId="2" name="Total sales for EA country"/>
    <pivotTable tabId="2" name="Total sales for EA month"/>
    <pivotTable tabId="2" name="Total sales for EA regio"/>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1" cache="Slicer_Product" caption="Product" columnCount="7" style="SlicerStyleDark5" rowHeight="241300"/>
  <slicer name="Category 1" cache="Slicer_Category" caption="Category" style="SlicerStyleDark5" rowHeight="241300"/>
  <slicer name="Country 1" cache="Slicer_Country" caption="Country" columnCount="8" style="SlicerStyleDark5" rowHeight="241300"/>
  <slicer name="Quarter 1" cache="Slicer_Quarter" caption="Quarter" style="SlicerStyleDark5" rowHeight="241300"/>
  <slicer name="Year 1" cache="Slicer_Year" caption="Year" columnCount="2" style="SlicerStyleDark5" rowHeight="241300"/>
</slicers>
</file>

<file path=xl/tables/table1.xml><?xml version="1.0" encoding="utf-8"?>
<table xmlns="http://schemas.openxmlformats.org/spreadsheetml/2006/main" id="1" name="Data" displayName="Data" ref="A3:J217" headerRowDxfId="47" dataDxfId="45" headerRowBorderDxfId="46" tableBorderDxfId="44" totalsRowBorderDxfId="43">
  <autoFilter ref="A3:J217"/>
  <tableColumns count="10">
    <tableColumn id="1" name="Order ID" totalsRowLabel="Total" dataDxfId="42" totalsRowDxfId="41"/>
    <tableColumn id="2" name="Date" dataDxfId="40" totalsRowDxfId="39"/>
    <tableColumn id="3" name="Product" dataDxfId="38" totalsRowDxfId="37"/>
    <tableColumn id="4" name="Category" dataDxfId="36" totalsRowDxfId="35"/>
    <tableColumn id="5" name="Country" dataDxfId="34" totalsRowDxfId="33"/>
    <tableColumn id="6" name="Region" dataDxfId="32" totalsRowDxfId="31"/>
    <tableColumn id="7" name="Month" dataDxfId="30" totalsRowDxfId="29"/>
    <tableColumn id="8" name="Year" dataDxfId="28" totalsRowDxfId="27"/>
    <tableColumn id="9" name="Quarter" dataDxfId="26" totalsRowDxfId="25"/>
    <tableColumn id="10" name="Amount" totalsRowFunction="sum" dataDxfId="24" totalsRowDxf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L219"/>
  <sheetViews>
    <sheetView tabSelected="1" topLeftCell="A3" zoomScale="160" zoomScaleNormal="160" zoomScaleSheetLayoutView="145" workbookViewId="0">
      <selection activeCell="B20" sqref="B20"/>
    </sheetView>
  </sheetViews>
  <sheetFormatPr defaultRowHeight="15" x14ac:dyDescent="0.25"/>
  <cols>
    <col min="1" max="1" width="9.28515625" customWidth="1"/>
    <col min="2" max="2" width="11.85546875" style="1" bestFit="1" customWidth="1"/>
    <col min="3" max="3" width="10" customWidth="1"/>
    <col min="4" max="4" width="11" bestFit="1" customWidth="1"/>
    <col min="5" max="5" width="12.5703125" bestFit="1" customWidth="1"/>
    <col min="7" max="7" width="10.85546875" customWidth="1"/>
    <col min="8" max="8" width="8.140625" customWidth="1"/>
    <col min="10" max="10" width="12.7109375" bestFit="1" customWidth="1"/>
  </cols>
  <sheetData>
    <row r="1" spans="1:12" ht="18" thickBot="1" x14ac:dyDescent="0.3">
      <c r="A1" s="26" t="s">
        <v>0</v>
      </c>
      <c r="B1" s="26"/>
      <c r="C1" s="26"/>
      <c r="D1" s="26"/>
      <c r="E1" s="26"/>
      <c r="F1" s="26"/>
      <c r="G1" s="26"/>
      <c r="H1" s="26"/>
      <c r="I1" s="26"/>
      <c r="J1" s="26"/>
    </row>
    <row r="2" spans="1:12" ht="15.75" thickTop="1" x14ac:dyDescent="0.25"/>
    <row r="3" spans="1:12" x14ac:dyDescent="0.25">
      <c r="A3" s="2" t="s">
        <v>1</v>
      </c>
      <c r="B3" s="3" t="s">
        <v>2</v>
      </c>
      <c r="C3" s="4" t="s">
        <v>3</v>
      </c>
      <c r="D3" s="4" t="s">
        <v>4</v>
      </c>
      <c r="E3" s="4" t="s">
        <v>5</v>
      </c>
      <c r="F3" s="4" t="s">
        <v>6</v>
      </c>
      <c r="G3" s="4" t="s">
        <v>7</v>
      </c>
      <c r="H3" s="4" t="s">
        <v>8</v>
      </c>
      <c r="I3" s="4" t="s">
        <v>9</v>
      </c>
      <c r="J3" s="5" t="s">
        <v>10</v>
      </c>
    </row>
    <row r="4" spans="1:12" x14ac:dyDescent="0.25">
      <c r="A4" s="6">
        <v>1</v>
      </c>
      <c r="B4" s="7">
        <v>43661</v>
      </c>
      <c r="C4" s="8" t="s">
        <v>11</v>
      </c>
      <c r="D4" s="8" t="s">
        <v>12</v>
      </c>
      <c r="E4" s="8" t="s">
        <v>13</v>
      </c>
      <c r="F4" s="9" t="s">
        <v>14</v>
      </c>
      <c r="G4" s="8" t="s">
        <v>15</v>
      </c>
      <c r="H4" s="8">
        <v>2019</v>
      </c>
      <c r="I4" s="8" t="s">
        <v>16</v>
      </c>
      <c r="J4" s="10">
        <v>4270</v>
      </c>
      <c r="L4" t="s">
        <v>17</v>
      </c>
    </row>
    <row r="5" spans="1:12" x14ac:dyDescent="0.25">
      <c r="A5" s="6">
        <v>2</v>
      </c>
      <c r="B5" s="7">
        <v>43665</v>
      </c>
      <c r="C5" s="8" t="s">
        <v>18</v>
      </c>
      <c r="D5" s="8" t="s">
        <v>12</v>
      </c>
      <c r="E5" s="8" t="s">
        <v>19</v>
      </c>
      <c r="F5" s="9" t="s">
        <v>20</v>
      </c>
      <c r="G5" s="8" t="s">
        <v>15</v>
      </c>
      <c r="H5" s="8">
        <v>2019</v>
      </c>
      <c r="I5" s="8" t="s">
        <v>16</v>
      </c>
      <c r="J5" s="10">
        <v>8239</v>
      </c>
      <c r="L5" t="s">
        <v>21</v>
      </c>
    </row>
    <row r="6" spans="1:12" x14ac:dyDescent="0.25">
      <c r="A6" s="6">
        <v>3</v>
      </c>
      <c r="B6" s="7">
        <v>43672</v>
      </c>
      <c r="C6" s="8" t="s">
        <v>22</v>
      </c>
      <c r="D6" s="8" t="s">
        <v>23</v>
      </c>
      <c r="E6" s="8" t="s">
        <v>13</v>
      </c>
      <c r="F6" s="9" t="s">
        <v>20</v>
      </c>
      <c r="G6" s="8" t="s">
        <v>15</v>
      </c>
      <c r="H6" s="8">
        <v>2019</v>
      </c>
      <c r="I6" s="8" t="s">
        <v>16</v>
      </c>
      <c r="J6" s="10">
        <v>617</v>
      </c>
      <c r="L6" t="s">
        <v>24</v>
      </c>
    </row>
    <row r="7" spans="1:12" x14ac:dyDescent="0.25">
      <c r="A7" s="6">
        <v>4</v>
      </c>
      <c r="B7" s="7">
        <v>43688</v>
      </c>
      <c r="C7" s="8" t="s">
        <v>22</v>
      </c>
      <c r="D7" s="8" t="s">
        <v>23</v>
      </c>
      <c r="E7" s="8" t="s">
        <v>25</v>
      </c>
      <c r="F7" s="9" t="s">
        <v>26</v>
      </c>
      <c r="G7" s="8" t="s">
        <v>27</v>
      </c>
      <c r="H7" s="8">
        <v>2019</v>
      </c>
      <c r="I7" s="8" t="s">
        <v>16</v>
      </c>
      <c r="J7" s="10">
        <v>8384</v>
      </c>
    </row>
    <row r="8" spans="1:12" x14ac:dyDescent="0.25">
      <c r="A8" s="6">
        <v>5</v>
      </c>
      <c r="B8" s="7">
        <v>43692</v>
      </c>
      <c r="C8" s="8" t="s">
        <v>28</v>
      </c>
      <c r="D8" s="8" t="s">
        <v>12</v>
      </c>
      <c r="E8" s="8" t="s">
        <v>29</v>
      </c>
      <c r="F8" s="9" t="s">
        <v>30</v>
      </c>
      <c r="G8" s="8" t="s">
        <v>27</v>
      </c>
      <c r="H8" s="8">
        <v>2019</v>
      </c>
      <c r="I8" s="8" t="s">
        <v>16</v>
      </c>
      <c r="J8" s="10">
        <v>2626</v>
      </c>
    </row>
    <row r="9" spans="1:12" x14ac:dyDescent="0.25">
      <c r="A9" s="6">
        <v>6</v>
      </c>
      <c r="B9" s="7">
        <v>43699</v>
      </c>
      <c r="C9" s="8" t="s">
        <v>31</v>
      </c>
      <c r="D9" s="8" t="s">
        <v>23</v>
      </c>
      <c r="E9" s="8" t="s">
        <v>13</v>
      </c>
      <c r="F9" s="9" t="s">
        <v>14</v>
      </c>
      <c r="G9" s="8" t="s">
        <v>27</v>
      </c>
      <c r="H9" s="8">
        <v>2019</v>
      </c>
      <c r="I9" s="8" t="s">
        <v>16</v>
      </c>
      <c r="J9" s="10">
        <v>3610</v>
      </c>
    </row>
    <row r="10" spans="1:12" x14ac:dyDescent="0.25">
      <c r="A10" s="6">
        <v>7</v>
      </c>
      <c r="B10" s="7">
        <v>43701</v>
      </c>
      <c r="C10" s="8" t="s">
        <v>18</v>
      </c>
      <c r="D10" s="8" t="s">
        <v>12</v>
      </c>
      <c r="E10" s="8" t="s">
        <v>32</v>
      </c>
      <c r="F10" s="9" t="s">
        <v>14</v>
      </c>
      <c r="G10" s="8" t="s">
        <v>27</v>
      </c>
      <c r="H10" s="8">
        <v>2019</v>
      </c>
      <c r="I10" s="8" t="s">
        <v>16</v>
      </c>
      <c r="J10" s="10">
        <v>9062</v>
      </c>
    </row>
    <row r="11" spans="1:12" x14ac:dyDescent="0.25">
      <c r="A11" s="6">
        <v>8</v>
      </c>
      <c r="B11" s="7">
        <v>43723</v>
      </c>
      <c r="C11" s="8" t="s">
        <v>22</v>
      </c>
      <c r="D11" s="8" t="s">
        <v>23</v>
      </c>
      <c r="E11" s="8" t="s">
        <v>33</v>
      </c>
      <c r="F11" s="9" t="s">
        <v>20</v>
      </c>
      <c r="G11" s="8" t="s">
        <v>34</v>
      </c>
      <c r="H11" s="8">
        <v>2019</v>
      </c>
      <c r="I11" s="8" t="s">
        <v>16</v>
      </c>
      <c r="J11" s="10">
        <v>6906</v>
      </c>
    </row>
    <row r="12" spans="1:12" x14ac:dyDescent="0.25">
      <c r="A12" s="6">
        <v>9</v>
      </c>
      <c r="B12" s="7">
        <v>43725</v>
      </c>
      <c r="C12" s="8" t="s">
        <v>35</v>
      </c>
      <c r="D12" s="8" t="s">
        <v>23</v>
      </c>
      <c r="E12" s="8" t="s">
        <v>36</v>
      </c>
      <c r="F12" s="9" t="s">
        <v>30</v>
      </c>
      <c r="G12" s="8" t="s">
        <v>34</v>
      </c>
      <c r="H12" s="8">
        <v>2019</v>
      </c>
      <c r="I12" s="8" t="s">
        <v>16</v>
      </c>
      <c r="J12" s="10">
        <v>2417</v>
      </c>
    </row>
    <row r="13" spans="1:12" x14ac:dyDescent="0.25">
      <c r="A13" s="6">
        <v>10</v>
      </c>
      <c r="B13" s="7">
        <v>43754</v>
      </c>
      <c r="C13" s="8" t="s">
        <v>35</v>
      </c>
      <c r="D13" s="8" t="s">
        <v>23</v>
      </c>
      <c r="E13" s="8" t="s">
        <v>25</v>
      </c>
      <c r="F13" s="9" t="s">
        <v>14</v>
      </c>
      <c r="G13" s="8" t="s">
        <v>37</v>
      </c>
      <c r="H13" s="8">
        <v>2019</v>
      </c>
      <c r="I13" s="8" t="s">
        <v>38</v>
      </c>
      <c r="J13" s="10">
        <v>7431</v>
      </c>
    </row>
    <row r="14" spans="1:12" x14ac:dyDescent="0.25">
      <c r="A14" s="6">
        <v>11</v>
      </c>
      <c r="B14" s="7">
        <v>43763</v>
      </c>
      <c r="C14" s="8" t="s">
        <v>22</v>
      </c>
      <c r="D14" s="8" t="s">
        <v>23</v>
      </c>
      <c r="E14" s="8" t="s">
        <v>29</v>
      </c>
      <c r="F14" s="9" t="s">
        <v>20</v>
      </c>
      <c r="G14" s="8" t="s">
        <v>37</v>
      </c>
      <c r="H14" s="8">
        <v>2019</v>
      </c>
      <c r="I14" s="8" t="s">
        <v>38</v>
      </c>
      <c r="J14" s="10">
        <v>8250</v>
      </c>
    </row>
    <row r="15" spans="1:12" x14ac:dyDescent="0.25">
      <c r="A15" s="6">
        <v>12</v>
      </c>
      <c r="B15" s="7">
        <v>43774</v>
      </c>
      <c r="C15" s="8" t="s">
        <v>18</v>
      </c>
      <c r="D15" s="8" t="s">
        <v>12</v>
      </c>
      <c r="E15" s="8" t="s">
        <v>13</v>
      </c>
      <c r="F15" s="9" t="s">
        <v>14</v>
      </c>
      <c r="G15" s="8" t="s">
        <v>39</v>
      </c>
      <c r="H15" s="8">
        <v>2019</v>
      </c>
      <c r="I15" s="8" t="s">
        <v>38</v>
      </c>
      <c r="J15" s="10">
        <v>7012</v>
      </c>
    </row>
    <row r="16" spans="1:12" x14ac:dyDescent="0.25">
      <c r="A16" s="6">
        <v>13</v>
      </c>
      <c r="B16" s="7">
        <v>43788</v>
      </c>
      <c r="C16" s="8" t="s">
        <v>11</v>
      </c>
      <c r="D16" s="8" t="s">
        <v>12</v>
      </c>
      <c r="E16" s="8" t="s">
        <v>29</v>
      </c>
      <c r="F16" s="9" t="s">
        <v>20</v>
      </c>
      <c r="G16" s="8" t="s">
        <v>39</v>
      </c>
      <c r="H16" s="8">
        <v>2019</v>
      </c>
      <c r="I16" s="8" t="s">
        <v>38</v>
      </c>
      <c r="J16" s="10">
        <v>1903</v>
      </c>
    </row>
    <row r="17" spans="1:10" x14ac:dyDescent="0.25">
      <c r="A17" s="6">
        <v>14</v>
      </c>
      <c r="B17" s="7">
        <v>43796</v>
      </c>
      <c r="C17" s="8" t="s">
        <v>18</v>
      </c>
      <c r="D17" s="8" t="s">
        <v>12</v>
      </c>
      <c r="E17" s="8" t="s">
        <v>25</v>
      </c>
      <c r="F17" s="9" t="s">
        <v>30</v>
      </c>
      <c r="G17" s="8" t="s">
        <v>39</v>
      </c>
      <c r="H17" s="8">
        <v>2019</v>
      </c>
      <c r="I17" s="8" t="s">
        <v>38</v>
      </c>
      <c r="J17" s="10">
        <v>2824</v>
      </c>
    </row>
    <row r="18" spans="1:10" x14ac:dyDescent="0.25">
      <c r="A18" s="6">
        <v>15</v>
      </c>
      <c r="B18" s="7">
        <v>43794</v>
      </c>
      <c r="C18" s="8" t="s">
        <v>35</v>
      </c>
      <c r="D18" s="8" t="s">
        <v>23</v>
      </c>
      <c r="E18" s="8" t="s">
        <v>36</v>
      </c>
      <c r="F18" s="9" t="s">
        <v>14</v>
      </c>
      <c r="G18" s="8" t="s">
        <v>39</v>
      </c>
      <c r="H18" s="8">
        <v>2019</v>
      </c>
      <c r="I18" s="8" t="s">
        <v>38</v>
      </c>
      <c r="J18" s="10">
        <v>6946</v>
      </c>
    </row>
    <row r="19" spans="1:10" x14ac:dyDescent="0.25">
      <c r="A19" s="6">
        <v>16</v>
      </c>
      <c r="B19" s="7">
        <v>43798</v>
      </c>
      <c r="C19" s="8" t="s">
        <v>22</v>
      </c>
      <c r="D19" s="8" t="s">
        <v>23</v>
      </c>
      <c r="E19" s="8" t="s">
        <v>19</v>
      </c>
      <c r="F19" s="9" t="s">
        <v>26</v>
      </c>
      <c r="G19" s="8" t="s">
        <v>39</v>
      </c>
      <c r="H19" s="8">
        <v>2019</v>
      </c>
      <c r="I19" s="8" t="s">
        <v>38</v>
      </c>
      <c r="J19" s="10">
        <v>2320</v>
      </c>
    </row>
    <row r="20" spans="1:10" x14ac:dyDescent="0.25">
      <c r="A20" s="6">
        <v>17</v>
      </c>
      <c r="B20" s="7">
        <v>43824</v>
      </c>
      <c r="C20" s="8" t="s">
        <v>22</v>
      </c>
      <c r="D20" s="8" t="s">
        <v>23</v>
      </c>
      <c r="E20" s="8" t="s">
        <v>13</v>
      </c>
      <c r="F20" s="9" t="s">
        <v>26</v>
      </c>
      <c r="G20" s="8" t="s">
        <v>40</v>
      </c>
      <c r="H20" s="8">
        <v>2019</v>
      </c>
      <c r="I20" s="8" t="s">
        <v>38</v>
      </c>
      <c r="J20" s="10">
        <v>2116</v>
      </c>
    </row>
    <row r="21" spans="1:10" x14ac:dyDescent="0.25">
      <c r="A21" s="6">
        <v>18</v>
      </c>
      <c r="B21" s="7">
        <v>43826</v>
      </c>
      <c r="C21" s="8" t="s">
        <v>22</v>
      </c>
      <c r="D21" s="8" t="s">
        <v>23</v>
      </c>
      <c r="E21" s="8" t="s">
        <v>19</v>
      </c>
      <c r="F21" s="9" t="s">
        <v>26</v>
      </c>
      <c r="G21" s="8" t="s">
        <v>40</v>
      </c>
      <c r="H21" s="8">
        <v>2019</v>
      </c>
      <c r="I21" s="8" t="s">
        <v>38</v>
      </c>
      <c r="J21" s="10">
        <v>1135</v>
      </c>
    </row>
    <row r="22" spans="1:10" x14ac:dyDescent="0.25">
      <c r="A22" s="6">
        <v>19</v>
      </c>
      <c r="B22" s="7">
        <v>43829</v>
      </c>
      <c r="C22" s="8" t="s">
        <v>18</v>
      </c>
      <c r="D22" s="8" t="s">
        <v>12</v>
      </c>
      <c r="E22" s="8" t="s">
        <v>19</v>
      </c>
      <c r="F22" s="9" t="s">
        <v>20</v>
      </c>
      <c r="G22" s="8" t="s">
        <v>40</v>
      </c>
      <c r="H22" s="8">
        <v>2019</v>
      </c>
      <c r="I22" s="8" t="s">
        <v>38</v>
      </c>
      <c r="J22" s="10">
        <v>3595</v>
      </c>
    </row>
    <row r="23" spans="1:10" x14ac:dyDescent="0.25">
      <c r="A23" s="6">
        <v>20</v>
      </c>
      <c r="B23" s="7">
        <v>43845</v>
      </c>
      <c r="C23" s="8" t="s">
        <v>35</v>
      </c>
      <c r="D23" s="8" t="s">
        <v>23</v>
      </c>
      <c r="E23" s="8" t="s">
        <v>13</v>
      </c>
      <c r="F23" s="9" t="s">
        <v>14</v>
      </c>
      <c r="G23" s="8" t="s">
        <v>41</v>
      </c>
      <c r="H23" s="8">
        <v>2020</v>
      </c>
      <c r="I23" s="8" t="s">
        <v>42</v>
      </c>
      <c r="J23" s="10">
        <v>1161</v>
      </c>
    </row>
    <row r="24" spans="1:10" x14ac:dyDescent="0.25">
      <c r="A24" s="6">
        <v>21</v>
      </c>
      <c r="B24" s="7">
        <v>43855</v>
      </c>
      <c r="C24" s="8" t="s">
        <v>31</v>
      </c>
      <c r="D24" s="8" t="s">
        <v>23</v>
      </c>
      <c r="E24" s="8" t="s">
        <v>36</v>
      </c>
      <c r="F24" s="9" t="s">
        <v>26</v>
      </c>
      <c r="G24" s="8" t="s">
        <v>41</v>
      </c>
      <c r="H24" s="8">
        <v>2020</v>
      </c>
      <c r="I24" s="8" t="s">
        <v>42</v>
      </c>
      <c r="J24" s="10">
        <v>2256</v>
      </c>
    </row>
    <row r="25" spans="1:10" x14ac:dyDescent="0.25">
      <c r="A25" s="6">
        <v>22</v>
      </c>
      <c r="B25" s="7">
        <v>43859</v>
      </c>
      <c r="C25" s="8" t="s">
        <v>22</v>
      </c>
      <c r="D25" s="8" t="s">
        <v>23</v>
      </c>
      <c r="E25" s="8" t="s">
        <v>33</v>
      </c>
      <c r="F25" s="8" t="s">
        <v>14</v>
      </c>
      <c r="G25" s="8" t="s">
        <v>41</v>
      </c>
      <c r="H25" s="8">
        <v>2020</v>
      </c>
      <c r="I25" s="8" t="s">
        <v>42</v>
      </c>
      <c r="J25" s="10">
        <v>1004</v>
      </c>
    </row>
    <row r="26" spans="1:10" x14ac:dyDescent="0.25">
      <c r="A26" s="6">
        <v>23</v>
      </c>
      <c r="B26" s="7">
        <v>43831</v>
      </c>
      <c r="C26" s="8" t="s">
        <v>22</v>
      </c>
      <c r="D26" s="8" t="s">
        <v>23</v>
      </c>
      <c r="E26" s="8" t="s">
        <v>25</v>
      </c>
      <c r="F26" s="8" t="s">
        <v>20</v>
      </c>
      <c r="G26" s="8" t="s">
        <v>41</v>
      </c>
      <c r="H26" s="8">
        <v>2020</v>
      </c>
      <c r="I26" s="8" t="s">
        <v>42</v>
      </c>
      <c r="J26" s="10">
        <v>3642</v>
      </c>
    </row>
    <row r="27" spans="1:10" x14ac:dyDescent="0.25">
      <c r="A27" s="6">
        <v>24</v>
      </c>
      <c r="B27" s="7">
        <v>43832</v>
      </c>
      <c r="C27" s="8" t="s">
        <v>22</v>
      </c>
      <c r="D27" s="8" t="s">
        <v>23</v>
      </c>
      <c r="E27" s="8" t="s">
        <v>13</v>
      </c>
      <c r="F27" s="8" t="s">
        <v>14</v>
      </c>
      <c r="G27" s="8" t="s">
        <v>41</v>
      </c>
      <c r="H27" s="8">
        <v>2020</v>
      </c>
      <c r="I27" s="8" t="s">
        <v>42</v>
      </c>
      <c r="J27" s="10">
        <v>4582</v>
      </c>
    </row>
    <row r="28" spans="1:10" x14ac:dyDescent="0.25">
      <c r="A28" s="6">
        <v>25</v>
      </c>
      <c r="B28" s="7">
        <v>43832</v>
      </c>
      <c r="C28" s="8" t="s">
        <v>28</v>
      </c>
      <c r="D28" s="8" t="s">
        <v>12</v>
      </c>
      <c r="E28" s="8" t="s">
        <v>19</v>
      </c>
      <c r="F28" s="8" t="s">
        <v>20</v>
      </c>
      <c r="G28" s="8" t="s">
        <v>41</v>
      </c>
      <c r="H28" s="8">
        <v>2020</v>
      </c>
      <c r="I28" s="8" t="s">
        <v>42</v>
      </c>
      <c r="J28" s="10">
        <v>3559</v>
      </c>
    </row>
    <row r="29" spans="1:10" x14ac:dyDescent="0.25">
      <c r="A29" s="6">
        <v>26</v>
      </c>
      <c r="B29" s="7">
        <v>43832</v>
      </c>
      <c r="C29" s="8" t="s">
        <v>11</v>
      </c>
      <c r="D29" s="8" t="s">
        <v>12</v>
      </c>
      <c r="E29" s="8" t="s">
        <v>32</v>
      </c>
      <c r="F29" s="8" t="s">
        <v>14</v>
      </c>
      <c r="G29" s="8" t="s">
        <v>41</v>
      </c>
      <c r="H29" s="8">
        <v>2020</v>
      </c>
      <c r="I29" s="8" t="s">
        <v>42</v>
      </c>
      <c r="J29" s="10">
        <v>5154</v>
      </c>
    </row>
    <row r="30" spans="1:10" x14ac:dyDescent="0.25">
      <c r="A30" s="6">
        <v>27</v>
      </c>
      <c r="B30" s="7">
        <v>43833</v>
      </c>
      <c r="C30" s="8" t="s">
        <v>43</v>
      </c>
      <c r="D30" s="8" t="s">
        <v>23</v>
      </c>
      <c r="E30" s="8" t="s">
        <v>36</v>
      </c>
      <c r="F30" s="8" t="s">
        <v>14</v>
      </c>
      <c r="G30" s="8" t="s">
        <v>41</v>
      </c>
      <c r="H30" s="8">
        <v>2020</v>
      </c>
      <c r="I30" s="8" t="s">
        <v>42</v>
      </c>
      <c r="J30" s="10">
        <v>7388</v>
      </c>
    </row>
    <row r="31" spans="1:10" x14ac:dyDescent="0.25">
      <c r="A31" s="6">
        <v>28</v>
      </c>
      <c r="B31" s="7">
        <v>43839</v>
      </c>
      <c r="C31" s="8" t="s">
        <v>28</v>
      </c>
      <c r="D31" s="8" t="s">
        <v>12</v>
      </c>
      <c r="E31" s="8" t="s">
        <v>13</v>
      </c>
      <c r="F31" s="8" t="s">
        <v>26</v>
      </c>
      <c r="G31" s="8" t="s">
        <v>41</v>
      </c>
      <c r="H31" s="8">
        <v>2020</v>
      </c>
      <c r="I31" s="8" t="s">
        <v>42</v>
      </c>
      <c r="J31" s="10">
        <v>7163</v>
      </c>
    </row>
    <row r="32" spans="1:10" x14ac:dyDescent="0.25">
      <c r="A32" s="6">
        <v>29</v>
      </c>
      <c r="B32" s="7">
        <v>43839</v>
      </c>
      <c r="C32" s="8" t="s">
        <v>28</v>
      </c>
      <c r="D32" s="8" t="s">
        <v>12</v>
      </c>
      <c r="E32" s="8" t="s">
        <v>29</v>
      </c>
      <c r="F32" s="8" t="s">
        <v>14</v>
      </c>
      <c r="G32" s="8" t="s">
        <v>41</v>
      </c>
      <c r="H32" s="8">
        <v>2020</v>
      </c>
      <c r="I32" s="8" t="s">
        <v>42</v>
      </c>
      <c r="J32" s="10">
        <v>5101</v>
      </c>
    </row>
    <row r="33" spans="1:10" x14ac:dyDescent="0.25">
      <c r="A33" s="6">
        <v>30</v>
      </c>
      <c r="B33" s="7">
        <v>43841</v>
      </c>
      <c r="C33" s="8" t="s">
        <v>35</v>
      </c>
      <c r="D33" s="8" t="s">
        <v>23</v>
      </c>
      <c r="E33" s="8" t="s">
        <v>36</v>
      </c>
      <c r="F33" s="8" t="s">
        <v>20</v>
      </c>
      <c r="G33" s="8" t="s">
        <v>41</v>
      </c>
      <c r="H33" s="8">
        <v>2020</v>
      </c>
      <c r="I33" s="8" t="s">
        <v>42</v>
      </c>
      <c r="J33" s="10">
        <v>7602</v>
      </c>
    </row>
    <row r="34" spans="1:10" x14ac:dyDescent="0.25">
      <c r="A34" s="6">
        <v>31</v>
      </c>
      <c r="B34" s="7">
        <v>43841</v>
      </c>
      <c r="C34" s="8" t="s">
        <v>43</v>
      </c>
      <c r="D34" s="8" t="s">
        <v>23</v>
      </c>
      <c r="E34" s="8" t="s">
        <v>13</v>
      </c>
      <c r="F34" s="8" t="s">
        <v>14</v>
      </c>
      <c r="G34" s="8" t="s">
        <v>41</v>
      </c>
      <c r="H34" s="8">
        <v>2020</v>
      </c>
      <c r="I34" s="8" t="s">
        <v>42</v>
      </c>
      <c r="J34" s="10">
        <v>1641</v>
      </c>
    </row>
    <row r="35" spans="1:10" x14ac:dyDescent="0.25">
      <c r="A35" s="6">
        <v>32</v>
      </c>
      <c r="B35" s="7">
        <v>43842</v>
      </c>
      <c r="C35" s="8" t="s">
        <v>35</v>
      </c>
      <c r="D35" s="8" t="s">
        <v>23</v>
      </c>
      <c r="E35" s="8" t="s">
        <v>32</v>
      </c>
      <c r="F35" s="8" t="s">
        <v>30</v>
      </c>
      <c r="G35" s="8" t="s">
        <v>41</v>
      </c>
      <c r="H35" s="8">
        <v>2020</v>
      </c>
      <c r="I35" s="8" t="s">
        <v>42</v>
      </c>
      <c r="J35" s="10">
        <v>8892</v>
      </c>
    </row>
    <row r="36" spans="1:10" x14ac:dyDescent="0.25">
      <c r="A36" s="6">
        <v>33</v>
      </c>
      <c r="B36" s="7">
        <v>43842</v>
      </c>
      <c r="C36" s="8" t="s">
        <v>35</v>
      </c>
      <c r="D36" s="8" t="s">
        <v>23</v>
      </c>
      <c r="E36" s="8" t="s">
        <v>36</v>
      </c>
      <c r="F36" s="8" t="s">
        <v>30</v>
      </c>
      <c r="G36" s="8" t="s">
        <v>41</v>
      </c>
      <c r="H36" s="8">
        <v>2020</v>
      </c>
      <c r="I36" s="8" t="s">
        <v>42</v>
      </c>
      <c r="J36" s="10">
        <v>2060</v>
      </c>
    </row>
    <row r="37" spans="1:10" x14ac:dyDescent="0.25">
      <c r="A37" s="6">
        <v>34</v>
      </c>
      <c r="B37" s="7">
        <v>43843</v>
      </c>
      <c r="C37" s="8" t="s">
        <v>18</v>
      </c>
      <c r="D37" s="8" t="s">
        <v>12</v>
      </c>
      <c r="E37" s="8" t="s">
        <v>29</v>
      </c>
      <c r="F37" s="8" t="s">
        <v>14</v>
      </c>
      <c r="G37" s="8" t="s">
        <v>41</v>
      </c>
      <c r="H37" s="8">
        <v>2020</v>
      </c>
      <c r="I37" s="8" t="s">
        <v>42</v>
      </c>
      <c r="J37" s="10">
        <v>1557</v>
      </c>
    </row>
    <row r="38" spans="1:10" x14ac:dyDescent="0.25">
      <c r="A38" s="6">
        <v>35</v>
      </c>
      <c r="B38" s="7">
        <v>43843</v>
      </c>
      <c r="C38" s="8" t="s">
        <v>35</v>
      </c>
      <c r="D38" s="8" t="s">
        <v>23</v>
      </c>
      <c r="E38" s="8" t="s">
        <v>36</v>
      </c>
      <c r="F38" s="8" t="s">
        <v>20</v>
      </c>
      <c r="G38" s="8" t="s">
        <v>41</v>
      </c>
      <c r="H38" s="8">
        <v>2020</v>
      </c>
      <c r="I38" s="8" t="s">
        <v>42</v>
      </c>
      <c r="J38" s="10">
        <v>6509</v>
      </c>
    </row>
    <row r="39" spans="1:10" x14ac:dyDescent="0.25">
      <c r="A39" s="6">
        <v>36</v>
      </c>
      <c r="B39" s="7">
        <v>43846</v>
      </c>
      <c r="C39" s="8" t="s">
        <v>35</v>
      </c>
      <c r="D39" s="8" t="s">
        <v>23</v>
      </c>
      <c r="E39" s="8" t="s">
        <v>32</v>
      </c>
      <c r="F39" s="8" t="s">
        <v>26</v>
      </c>
      <c r="G39" s="8" t="s">
        <v>41</v>
      </c>
      <c r="H39" s="8">
        <v>2020</v>
      </c>
      <c r="I39" s="8" t="s">
        <v>42</v>
      </c>
      <c r="J39" s="10">
        <v>5718</v>
      </c>
    </row>
    <row r="40" spans="1:10" x14ac:dyDescent="0.25">
      <c r="A40" s="6">
        <v>37</v>
      </c>
      <c r="B40" s="7">
        <v>43846</v>
      </c>
      <c r="C40" s="8" t="s">
        <v>35</v>
      </c>
      <c r="D40" s="8" t="s">
        <v>23</v>
      </c>
      <c r="E40" s="8" t="s">
        <v>13</v>
      </c>
      <c r="F40" s="8" t="s">
        <v>26</v>
      </c>
      <c r="G40" s="8" t="s">
        <v>41</v>
      </c>
      <c r="H40" s="8">
        <v>2020</v>
      </c>
      <c r="I40" s="8" t="s">
        <v>42</v>
      </c>
      <c r="J40" s="10">
        <v>7655</v>
      </c>
    </row>
    <row r="41" spans="1:10" x14ac:dyDescent="0.25">
      <c r="A41" s="6">
        <v>38</v>
      </c>
      <c r="B41" s="7">
        <v>43846</v>
      </c>
      <c r="C41" s="8" t="s">
        <v>11</v>
      </c>
      <c r="D41" s="8" t="s">
        <v>12</v>
      </c>
      <c r="E41" s="8" t="s">
        <v>19</v>
      </c>
      <c r="F41" s="8" t="s">
        <v>26</v>
      </c>
      <c r="G41" s="8" t="s">
        <v>41</v>
      </c>
      <c r="H41" s="8">
        <v>2020</v>
      </c>
      <c r="I41" s="8" t="s">
        <v>42</v>
      </c>
      <c r="J41" s="10">
        <v>9116</v>
      </c>
    </row>
    <row r="42" spans="1:10" x14ac:dyDescent="0.25">
      <c r="A42" s="6">
        <v>39</v>
      </c>
      <c r="B42" s="7">
        <v>43846</v>
      </c>
      <c r="C42" s="8" t="s">
        <v>22</v>
      </c>
      <c r="D42" s="8" t="s">
        <v>23</v>
      </c>
      <c r="E42" s="8" t="s">
        <v>13</v>
      </c>
      <c r="F42" s="8" t="s">
        <v>14</v>
      </c>
      <c r="G42" s="8" t="s">
        <v>41</v>
      </c>
      <c r="H42" s="8">
        <v>2020</v>
      </c>
      <c r="I42" s="8" t="s">
        <v>42</v>
      </c>
      <c r="J42" s="10">
        <v>2795</v>
      </c>
    </row>
    <row r="43" spans="1:10" x14ac:dyDescent="0.25">
      <c r="A43" s="6">
        <v>40</v>
      </c>
      <c r="B43" s="7">
        <v>43847</v>
      </c>
      <c r="C43" s="8" t="s">
        <v>22</v>
      </c>
      <c r="D43" s="8" t="s">
        <v>23</v>
      </c>
      <c r="E43" s="8" t="s">
        <v>13</v>
      </c>
      <c r="F43" s="8" t="s">
        <v>20</v>
      </c>
      <c r="G43" s="8" t="s">
        <v>41</v>
      </c>
      <c r="H43" s="8">
        <v>2020</v>
      </c>
      <c r="I43" s="8" t="s">
        <v>42</v>
      </c>
      <c r="J43" s="10">
        <v>5084</v>
      </c>
    </row>
    <row r="44" spans="1:10" x14ac:dyDescent="0.25">
      <c r="A44" s="6">
        <v>41</v>
      </c>
      <c r="B44" s="7">
        <v>43853</v>
      </c>
      <c r="C44" s="8" t="s">
        <v>11</v>
      </c>
      <c r="D44" s="8" t="s">
        <v>12</v>
      </c>
      <c r="E44" s="8" t="s">
        <v>19</v>
      </c>
      <c r="F44" s="8" t="s">
        <v>30</v>
      </c>
      <c r="G44" s="8" t="s">
        <v>41</v>
      </c>
      <c r="H44" s="8">
        <v>2020</v>
      </c>
      <c r="I44" s="8" t="s">
        <v>42</v>
      </c>
      <c r="J44" s="10">
        <v>8941</v>
      </c>
    </row>
    <row r="45" spans="1:10" x14ac:dyDescent="0.25">
      <c r="A45" s="6">
        <v>42</v>
      </c>
      <c r="B45" s="7">
        <v>43854</v>
      </c>
      <c r="C45" s="8" t="s">
        <v>18</v>
      </c>
      <c r="D45" s="8" t="s">
        <v>12</v>
      </c>
      <c r="E45" s="8" t="s">
        <v>36</v>
      </c>
      <c r="F45" s="8" t="s">
        <v>14</v>
      </c>
      <c r="G45" s="8" t="s">
        <v>41</v>
      </c>
      <c r="H45" s="8">
        <v>2020</v>
      </c>
      <c r="I45" s="8" t="s">
        <v>42</v>
      </c>
      <c r="J45" s="10">
        <v>5341</v>
      </c>
    </row>
    <row r="46" spans="1:10" x14ac:dyDescent="0.25">
      <c r="A46" s="6">
        <v>43</v>
      </c>
      <c r="B46" s="7">
        <v>43856</v>
      </c>
      <c r="C46" s="8" t="s">
        <v>22</v>
      </c>
      <c r="D46" s="8" t="s">
        <v>23</v>
      </c>
      <c r="E46" s="8" t="s">
        <v>25</v>
      </c>
      <c r="F46" s="8" t="s">
        <v>26</v>
      </c>
      <c r="G46" s="8" t="s">
        <v>41</v>
      </c>
      <c r="H46" s="8">
        <v>2020</v>
      </c>
      <c r="I46" s="8" t="s">
        <v>42</v>
      </c>
      <c r="J46" s="10">
        <v>135</v>
      </c>
    </row>
    <row r="47" spans="1:10" x14ac:dyDescent="0.25">
      <c r="A47" s="6">
        <v>44</v>
      </c>
      <c r="B47" s="7">
        <v>43856</v>
      </c>
      <c r="C47" s="8" t="s">
        <v>22</v>
      </c>
      <c r="D47" s="8" t="s">
        <v>23</v>
      </c>
      <c r="E47" s="8" t="s">
        <v>32</v>
      </c>
      <c r="F47" s="8" t="s">
        <v>14</v>
      </c>
      <c r="G47" s="8" t="s">
        <v>41</v>
      </c>
      <c r="H47" s="8">
        <v>2020</v>
      </c>
      <c r="I47" s="8" t="s">
        <v>42</v>
      </c>
      <c r="J47" s="10">
        <v>9400</v>
      </c>
    </row>
    <row r="48" spans="1:10" x14ac:dyDescent="0.25">
      <c r="A48" s="6">
        <v>45</v>
      </c>
      <c r="B48" s="7">
        <v>43858</v>
      </c>
      <c r="C48" s="8" t="s">
        <v>28</v>
      </c>
      <c r="D48" s="8" t="s">
        <v>12</v>
      </c>
      <c r="E48" s="8" t="s">
        <v>29</v>
      </c>
      <c r="F48" s="8" t="s">
        <v>20</v>
      </c>
      <c r="G48" s="8" t="s">
        <v>41</v>
      </c>
      <c r="H48" s="8">
        <v>2020</v>
      </c>
      <c r="I48" s="8" t="s">
        <v>42</v>
      </c>
      <c r="J48" s="10">
        <v>6045</v>
      </c>
    </row>
    <row r="49" spans="1:10" x14ac:dyDescent="0.25">
      <c r="A49" s="6">
        <v>46</v>
      </c>
      <c r="B49" s="7">
        <v>43862</v>
      </c>
      <c r="C49" s="8" t="s">
        <v>35</v>
      </c>
      <c r="D49" s="8" t="s">
        <v>23</v>
      </c>
      <c r="E49" s="8" t="s">
        <v>33</v>
      </c>
      <c r="F49" s="8" t="s">
        <v>30</v>
      </c>
      <c r="G49" s="8" t="s">
        <v>44</v>
      </c>
      <c r="H49" s="8">
        <v>2020</v>
      </c>
      <c r="I49" s="8" t="s">
        <v>42</v>
      </c>
      <c r="J49" s="10">
        <v>5820</v>
      </c>
    </row>
    <row r="50" spans="1:10" x14ac:dyDescent="0.25">
      <c r="A50" s="6">
        <v>47</v>
      </c>
      <c r="B50" s="7">
        <v>43863</v>
      </c>
      <c r="C50" s="8" t="s">
        <v>31</v>
      </c>
      <c r="D50" s="8" t="s">
        <v>23</v>
      </c>
      <c r="E50" s="8" t="s">
        <v>29</v>
      </c>
      <c r="F50" s="8" t="s">
        <v>14</v>
      </c>
      <c r="G50" s="8" t="s">
        <v>44</v>
      </c>
      <c r="H50" s="8">
        <v>2020</v>
      </c>
      <c r="I50" s="8" t="s">
        <v>42</v>
      </c>
      <c r="J50" s="10">
        <v>8887</v>
      </c>
    </row>
    <row r="51" spans="1:10" x14ac:dyDescent="0.25">
      <c r="A51" s="6">
        <v>48</v>
      </c>
      <c r="B51" s="7">
        <v>43864</v>
      </c>
      <c r="C51" s="8" t="s">
        <v>31</v>
      </c>
      <c r="D51" s="8" t="s">
        <v>23</v>
      </c>
      <c r="E51" s="8" t="s">
        <v>13</v>
      </c>
      <c r="F51" s="8" t="s">
        <v>20</v>
      </c>
      <c r="G51" s="8" t="s">
        <v>44</v>
      </c>
      <c r="H51" s="8">
        <v>2020</v>
      </c>
      <c r="I51" s="8" t="s">
        <v>42</v>
      </c>
      <c r="J51" s="10">
        <v>6982</v>
      </c>
    </row>
    <row r="52" spans="1:10" x14ac:dyDescent="0.25">
      <c r="A52" s="6">
        <v>49</v>
      </c>
      <c r="B52" s="7">
        <v>43871</v>
      </c>
      <c r="C52" s="8" t="s">
        <v>22</v>
      </c>
      <c r="D52" s="8" t="s">
        <v>23</v>
      </c>
      <c r="E52" s="8" t="s">
        <v>32</v>
      </c>
      <c r="F52" s="8" t="s">
        <v>14</v>
      </c>
      <c r="G52" s="8" t="s">
        <v>44</v>
      </c>
      <c r="H52" s="8">
        <v>2020</v>
      </c>
      <c r="I52" s="8" t="s">
        <v>42</v>
      </c>
      <c r="J52" s="10">
        <v>4029</v>
      </c>
    </row>
    <row r="53" spans="1:10" x14ac:dyDescent="0.25">
      <c r="A53" s="6">
        <v>50</v>
      </c>
      <c r="B53" s="7">
        <v>43871</v>
      </c>
      <c r="C53" s="8" t="s">
        <v>11</v>
      </c>
      <c r="D53" s="8" t="s">
        <v>12</v>
      </c>
      <c r="E53" s="8" t="s">
        <v>29</v>
      </c>
      <c r="F53" s="8" t="s">
        <v>30</v>
      </c>
      <c r="G53" s="8" t="s">
        <v>44</v>
      </c>
      <c r="H53" s="8">
        <v>2020</v>
      </c>
      <c r="I53" s="8" t="s">
        <v>42</v>
      </c>
      <c r="J53" s="10">
        <v>3665</v>
      </c>
    </row>
    <row r="54" spans="1:10" x14ac:dyDescent="0.25">
      <c r="A54" s="6">
        <v>51</v>
      </c>
      <c r="B54" s="7">
        <v>43875</v>
      </c>
      <c r="C54" s="8" t="s">
        <v>22</v>
      </c>
      <c r="D54" s="8" t="s">
        <v>23</v>
      </c>
      <c r="E54" s="8" t="s">
        <v>36</v>
      </c>
      <c r="F54" s="8" t="s">
        <v>14</v>
      </c>
      <c r="G54" s="8" t="s">
        <v>44</v>
      </c>
      <c r="H54" s="8">
        <v>2020</v>
      </c>
      <c r="I54" s="8" t="s">
        <v>42</v>
      </c>
      <c r="J54" s="10">
        <v>4781</v>
      </c>
    </row>
    <row r="55" spans="1:10" x14ac:dyDescent="0.25">
      <c r="A55" s="6">
        <v>52</v>
      </c>
      <c r="B55" s="7">
        <v>43876</v>
      </c>
      <c r="C55" s="8" t="s">
        <v>43</v>
      </c>
      <c r="D55" s="8" t="s">
        <v>23</v>
      </c>
      <c r="E55" s="8" t="s">
        <v>32</v>
      </c>
      <c r="F55" s="8" t="s">
        <v>26</v>
      </c>
      <c r="G55" s="8" t="s">
        <v>44</v>
      </c>
      <c r="H55" s="8">
        <v>2020</v>
      </c>
      <c r="I55" s="8" t="s">
        <v>42</v>
      </c>
      <c r="J55" s="10">
        <v>3663</v>
      </c>
    </row>
    <row r="56" spans="1:10" x14ac:dyDescent="0.25">
      <c r="A56" s="6">
        <v>53</v>
      </c>
      <c r="B56" s="7">
        <v>43878</v>
      </c>
      <c r="C56" s="8" t="s">
        <v>35</v>
      </c>
      <c r="D56" s="8" t="s">
        <v>23</v>
      </c>
      <c r="E56" s="8" t="s">
        <v>36</v>
      </c>
      <c r="F56" s="8" t="s">
        <v>20</v>
      </c>
      <c r="G56" s="8" t="s">
        <v>44</v>
      </c>
      <c r="H56" s="8">
        <v>2020</v>
      </c>
      <c r="I56" s="8" t="s">
        <v>42</v>
      </c>
      <c r="J56" s="10">
        <v>6331</v>
      </c>
    </row>
    <row r="57" spans="1:10" x14ac:dyDescent="0.25">
      <c r="A57" s="6">
        <v>54</v>
      </c>
      <c r="B57" s="7">
        <v>43880</v>
      </c>
      <c r="C57" s="8" t="s">
        <v>35</v>
      </c>
      <c r="D57" s="8" t="s">
        <v>23</v>
      </c>
      <c r="E57" s="8" t="s">
        <v>25</v>
      </c>
      <c r="F57" s="8" t="s">
        <v>14</v>
      </c>
      <c r="G57" s="8" t="s">
        <v>44</v>
      </c>
      <c r="H57" s="8">
        <v>2020</v>
      </c>
      <c r="I57" s="8" t="s">
        <v>42</v>
      </c>
      <c r="J57" s="10">
        <v>4364</v>
      </c>
    </row>
    <row r="58" spans="1:10" x14ac:dyDescent="0.25">
      <c r="A58" s="6">
        <v>55</v>
      </c>
      <c r="B58" s="7">
        <v>43882</v>
      </c>
      <c r="C58" s="8" t="s">
        <v>11</v>
      </c>
      <c r="D58" s="8" t="s">
        <v>12</v>
      </c>
      <c r="E58" s="8" t="s">
        <v>19</v>
      </c>
      <c r="F58" s="8" t="s">
        <v>14</v>
      </c>
      <c r="G58" s="8" t="s">
        <v>44</v>
      </c>
      <c r="H58" s="8">
        <v>2020</v>
      </c>
      <c r="I58" s="8" t="s">
        <v>42</v>
      </c>
      <c r="J58" s="10">
        <v>607</v>
      </c>
    </row>
    <row r="59" spans="1:10" x14ac:dyDescent="0.25">
      <c r="A59" s="6">
        <v>56</v>
      </c>
      <c r="B59" s="7">
        <v>43883</v>
      </c>
      <c r="C59" s="8" t="s">
        <v>22</v>
      </c>
      <c r="D59" s="8" t="s">
        <v>23</v>
      </c>
      <c r="E59" s="8" t="s">
        <v>33</v>
      </c>
      <c r="F59" s="8" t="s">
        <v>20</v>
      </c>
      <c r="G59" s="8" t="s">
        <v>44</v>
      </c>
      <c r="H59" s="8">
        <v>2020</v>
      </c>
      <c r="I59" s="8" t="s">
        <v>42</v>
      </c>
      <c r="J59" s="10">
        <v>1054</v>
      </c>
    </row>
    <row r="60" spans="1:10" x14ac:dyDescent="0.25">
      <c r="A60" s="6">
        <v>57</v>
      </c>
      <c r="B60" s="7">
        <v>43886</v>
      </c>
      <c r="C60" s="8" t="s">
        <v>11</v>
      </c>
      <c r="D60" s="8" t="s">
        <v>12</v>
      </c>
      <c r="E60" s="8" t="s">
        <v>13</v>
      </c>
      <c r="F60" s="8" t="s">
        <v>14</v>
      </c>
      <c r="G60" s="8" t="s">
        <v>44</v>
      </c>
      <c r="H60" s="8">
        <v>2020</v>
      </c>
      <c r="I60" s="8" t="s">
        <v>42</v>
      </c>
      <c r="J60" s="10">
        <v>7659</v>
      </c>
    </row>
    <row r="61" spans="1:10" x14ac:dyDescent="0.25">
      <c r="A61" s="6">
        <v>58</v>
      </c>
      <c r="B61" s="7">
        <v>43886</v>
      </c>
      <c r="C61" s="8" t="s">
        <v>18</v>
      </c>
      <c r="D61" s="8" t="s">
        <v>12</v>
      </c>
      <c r="E61" s="8" t="s">
        <v>29</v>
      </c>
      <c r="F61" s="8" t="s">
        <v>20</v>
      </c>
      <c r="G61" s="8" t="s">
        <v>44</v>
      </c>
      <c r="H61" s="8">
        <v>2020</v>
      </c>
      <c r="I61" s="8" t="s">
        <v>42</v>
      </c>
      <c r="J61" s="10">
        <v>277</v>
      </c>
    </row>
    <row r="62" spans="1:10" x14ac:dyDescent="0.25">
      <c r="A62" s="6">
        <v>59</v>
      </c>
      <c r="B62" s="7">
        <v>43887</v>
      </c>
      <c r="C62" s="8" t="s">
        <v>22</v>
      </c>
      <c r="D62" s="8" t="s">
        <v>23</v>
      </c>
      <c r="E62" s="8" t="s">
        <v>13</v>
      </c>
      <c r="F62" s="8" t="s">
        <v>26</v>
      </c>
      <c r="G62" s="8" t="s">
        <v>44</v>
      </c>
      <c r="H62" s="8">
        <v>2020</v>
      </c>
      <c r="I62" s="8" t="s">
        <v>42</v>
      </c>
      <c r="J62" s="10">
        <v>235</v>
      </c>
    </row>
    <row r="63" spans="1:10" x14ac:dyDescent="0.25">
      <c r="A63" s="6">
        <v>60</v>
      </c>
      <c r="B63" s="7">
        <v>43887</v>
      </c>
      <c r="C63" s="8" t="s">
        <v>31</v>
      </c>
      <c r="D63" s="8" t="s">
        <v>23</v>
      </c>
      <c r="E63" s="8" t="s">
        <v>32</v>
      </c>
      <c r="F63" s="8" t="s">
        <v>14</v>
      </c>
      <c r="G63" s="8" t="s">
        <v>44</v>
      </c>
      <c r="H63" s="8">
        <v>2020</v>
      </c>
      <c r="I63" s="8" t="s">
        <v>42</v>
      </c>
      <c r="J63" s="10">
        <v>1113</v>
      </c>
    </row>
    <row r="64" spans="1:10" x14ac:dyDescent="0.25">
      <c r="A64" s="6">
        <v>61</v>
      </c>
      <c r="B64" s="7">
        <v>43888</v>
      </c>
      <c r="C64" s="8" t="s">
        <v>35</v>
      </c>
      <c r="D64" s="8" t="s">
        <v>23</v>
      </c>
      <c r="E64" s="8" t="s">
        <v>13</v>
      </c>
      <c r="F64" s="8" t="s">
        <v>20</v>
      </c>
      <c r="G64" s="8" t="s">
        <v>44</v>
      </c>
      <c r="H64" s="8">
        <v>2020</v>
      </c>
      <c r="I64" s="8" t="s">
        <v>42</v>
      </c>
      <c r="J64" s="10">
        <v>1128</v>
      </c>
    </row>
    <row r="65" spans="1:10" x14ac:dyDescent="0.25">
      <c r="A65" s="6">
        <v>62</v>
      </c>
      <c r="B65" s="7">
        <v>43888</v>
      </c>
      <c r="C65" s="8" t="s">
        <v>18</v>
      </c>
      <c r="D65" s="8" t="s">
        <v>12</v>
      </c>
      <c r="E65" s="8" t="s">
        <v>25</v>
      </c>
      <c r="F65" s="8" t="s">
        <v>26</v>
      </c>
      <c r="G65" s="8" t="s">
        <v>44</v>
      </c>
      <c r="H65" s="8">
        <v>2020</v>
      </c>
      <c r="I65" s="8" t="s">
        <v>42</v>
      </c>
      <c r="J65" s="10">
        <v>9231</v>
      </c>
    </row>
    <row r="66" spans="1:10" x14ac:dyDescent="0.25">
      <c r="A66" s="6">
        <v>63</v>
      </c>
      <c r="B66" s="7">
        <v>43891</v>
      </c>
      <c r="C66" s="8" t="s">
        <v>22</v>
      </c>
      <c r="D66" s="8" t="s">
        <v>23</v>
      </c>
      <c r="E66" s="8" t="s">
        <v>13</v>
      </c>
      <c r="F66" s="8" t="s">
        <v>30</v>
      </c>
      <c r="G66" s="8" t="s">
        <v>45</v>
      </c>
      <c r="H66" s="8">
        <v>2020</v>
      </c>
      <c r="I66" s="8" t="s">
        <v>42</v>
      </c>
      <c r="J66" s="10">
        <v>4387</v>
      </c>
    </row>
    <row r="67" spans="1:10" x14ac:dyDescent="0.25">
      <c r="A67" s="6">
        <v>64</v>
      </c>
      <c r="B67" s="7">
        <v>43892</v>
      </c>
      <c r="C67" s="8" t="s">
        <v>35</v>
      </c>
      <c r="D67" s="8" t="s">
        <v>23</v>
      </c>
      <c r="E67" s="8" t="s">
        <v>25</v>
      </c>
      <c r="F67" s="8" t="s">
        <v>20</v>
      </c>
      <c r="G67" s="8" t="s">
        <v>45</v>
      </c>
      <c r="H67" s="8">
        <v>2020</v>
      </c>
      <c r="I67" s="8" t="s">
        <v>42</v>
      </c>
      <c r="J67" s="10">
        <v>2763</v>
      </c>
    </row>
    <row r="68" spans="1:10" x14ac:dyDescent="0.25">
      <c r="A68" s="6">
        <v>65</v>
      </c>
      <c r="B68" s="7">
        <v>43894</v>
      </c>
      <c r="C68" s="8" t="s">
        <v>22</v>
      </c>
      <c r="D68" s="8" t="s">
        <v>23</v>
      </c>
      <c r="E68" s="8" t="s">
        <v>19</v>
      </c>
      <c r="F68" s="8" t="s">
        <v>14</v>
      </c>
      <c r="G68" s="8" t="s">
        <v>45</v>
      </c>
      <c r="H68" s="8">
        <v>2020</v>
      </c>
      <c r="I68" s="8" t="s">
        <v>42</v>
      </c>
      <c r="J68" s="10">
        <v>7898</v>
      </c>
    </row>
    <row r="69" spans="1:10" x14ac:dyDescent="0.25">
      <c r="A69" s="6">
        <v>66</v>
      </c>
      <c r="B69" s="7">
        <v>43894</v>
      </c>
      <c r="C69" s="8" t="s">
        <v>22</v>
      </c>
      <c r="D69" s="8" t="s">
        <v>23</v>
      </c>
      <c r="E69" s="8" t="s">
        <v>36</v>
      </c>
      <c r="F69" s="8" t="s">
        <v>14</v>
      </c>
      <c r="G69" s="8" t="s">
        <v>45</v>
      </c>
      <c r="H69" s="8">
        <v>2020</v>
      </c>
      <c r="I69" s="8" t="s">
        <v>42</v>
      </c>
      <c r="J69" s="10">
        <v>2427</v>
      </c>
    </row>
    <row r="70" spans="1:10" x14ac:dyDescent="0.25">
      <c r="A70" s="6">
        <v>67</v>
      </c>
      <c r="B70" s="7">
        <v>43894</v>
      </c>
      <c r="C70" s="8" t="s">
        <v>22</v>
      </c>
      <c r="D70" s="8" t="s">
        <v>23</v>
      </c>
      <c r="E70" s="8" t="s">
        <v>33</v>
      </c>
      <c r="F70" s="8" t="s">
        <v>14</v>
      </c>
      <c r="G70" s="8" t="s">
        <v>45</v>
      </c>
      <c r="H70" s="8">
        <v>2020</v>
      </c>
      <c r="I70" s="8" t="s">
        <v>42</v>
      </c>
      <c r="J70" s="10">
        <v>8663</v>
      </c>
    </row>
    <row r="71" spans="1:10" x14ac:dyDescent="0.25">
      <c r="A71" s="6">
        <v>68</v>
      </c>
      <c r="B71" s="7">
        <v>43897</v>
      </c>
      <c r="C71" s="8" t="s">
        <v>11</v>
      </c>
      <c r="D71" s="8" t="s">
        <v>12</v>
      </c>
      <c r="E71" s="8" t="s">
        <v>29</v>
      </c>
      <c r="F71" s="8" t="s">
        <v>30</v>
      </c>
      <c r="G71" s="8" t="s">
        <v>45</v>
      </c>
      <c r="H71" s="8">
        <v>2020</v>
      </c>
      <c r="I71" s="8" t="s">
        <v>42</v>
      </c>
      <c r="J71" s="10">
        <v>2789</v>
      </c>
    </row>
    <row r="72" spans="1:10" x14ac:dyDescent="0.25">
      <c r="A72" s="6">
        <v>69</v>
      </c>
      <c r="B72" s="7">
        <v>43901</v>
      </c>
      <c r="C72" s="8" t="s">
        <v>22</v>
      </c>
      <c r="D72" s="8" t="s">
        <v>23</v>
      </c>
      <c r="E72" s="8" t="s">
        <v>13</v>
      </c>
      <c r="F72" s="8" t="s">
        <v>14</v>
      </c>
      <c r="G72" s="8" t="s">
        <v>45</v>
      </c>
      <c r="H72" s="8">
        <v>2020</v>
      </c>
      <c r="I72" s="8" t="s">
        <v>42</v>
      </c>
      <c r="J72" s="10">
        <v>4054</v>
      </c>
    </row>
    <row r="73" spans="1:10" x14ac:dyDescent="0.25">
      <c r="A73" s="6">
        <v>70</v>
      </c>
      <c r="B73" s="7">
        <v>43903</v>
      </c>
      <c r="C73" s="8" t="s">
        <v>43</v>
      </c>
      <c r="D73" s="8" t="s">
        <v>23</v>
      </c>
      <c r="E73" s="8" t="s">
        <v>13</v>
      </c>
      <c r="F73" s="8" t="s">
        <v>14</v>
      </c>
      <c r="G73" s="8" t="s">
        <v>45</v>
      </c>
      <c r="H73" s="8">
        <v>2020</v>
      </c>
      <c r="I73" s="8" t="s">
        <v>42</v>
      </c>
      <c r="J73" s="10">
        <v>2262</v>
      </c>
    </row>
    <row r="74" spans="1:10" x14ac:dyDescent="0.25">
      <c r="A74" s="6">
        <v>71</v>
      </c>
      <c r="B74" s="7">
        <v>43905</v>
      </c>
      <c r="C74" s="8" t="s">
        <v>43</v>
      </c>
      <c r="D74" s="8" t="s">
        <v>23</v>
      </c>
      <c r="E74" s="8" t="s">
        <v>19</v>
      </c>
      <c r="F74" s="8" t="s">
        <v>14</v>
      </c>
      <c r="G74" s="8" t="s">
        <v>45</v>
      </c>
      <c r="H74" s="8">
        <v>2020</v>
      </c>
      <c r="I74" s="8" t="s">
        <v>42</v>
      </c>
      <c r="J74" s="10">
        <v>5600</v>
      </c>
    </row>
    <row r="75" spans="1:10" x14ac:dyDescent="0.25">
      <c r="A75" s="6">
        <v>72</v>
      </c>
      <c r="B75" s="7">
        <v>43906</v>
      </c>
      <c r="C75" s="8" t="s">
        <v>22</v>
      </c>
      <c r="D75" s="8" t="s">
        <v>23</v>
      </c>
      <c r="E75" s="8" t="s">
        <v>13</v>
      </c>
      <c r="F75" s="8" t="s">
        <v>14</v>
      </c>
      <c r="G75" s="8" t="s">
        <v>45</v>
      </c>
      <c r="H75" s="8">
        <v>2020</v>
      </c>
      <c r="I75" s="8" t="s">
        <v>42</v>
      </c>
      <c r="J75" s="10">
        <v>5787</v>
      </c>
    </row>
    <row r="76" spans="1:10" x14ac:dyDescent="0.25">
      <c r="A76" s="6">
        <v>73</v>
      </c>
      <c r="B76" s="7">
        <v>43907</v>
      </c>
      <c r="C76" s="8" t="s">
        <v>31</v>
      </c>
      <c r="D76" s="8" t="s">
        <v>23</v>
      </c>
      <c r="E76" s="8" t="s">
        <v>25</v>
      </c>
      <c r="F76" s="8" t="s">
        <v>14</v>
      </c>
      <c r="G76" s="8" t="s">
        <v>45</v>
      </c>
      <c r="H76" s="8">
        <v>2020</v>
      </c>
      <c r="I76" s="8" t="s">
        <v>42</v>
      </c>
      <c r="J76" s="10">
        <v>6295</v>
      </c>
    </row>
    <row r="77" spans="1:10" x14ac:dyDescent="0.25">
      <c r="A77" s="6">
        <v>74</v>
      </c>
      <c r="B77" s="7">
        <v>43907</v>
      </c>
      <c r="C77" s="8" t="s">
        <v>22</v>
      </c>
      <c r="D77" s="8" t="s">
        <v>23</v>
      </c>
      <c r="E77" s="8" t="s">
        <v>29</v>
      </c>
      <c r="F77" s="8" t="s">
        <v>20</v>
      </c>
      <c r="G77" s="8" t="s">
        <v>45</v>
      </c>
      <c r="H77" s="8">
        <v>2020</v>
      </c>
      <c r="I77" s="8" t="s">
        <v>42</v>
      </c>
      <c r="J77" s="10">
        <v>474</v>
      </c>
    </row>
    <row r="78" spans="1:10" x14ac:dyDescent="0.25">
      <c r="A78" s="6">
        <v>75</v>
      </c>
      <c r="B78" s="7">
        <v>43909</v>
      </c>
      <c r="C78" s="8" t="s">
        <v>35</v>
      </c>
      <c r="D78" s="8" t="s">
        <v>23</v>
      </c>
      <c r="E78" s="8" t="s">
        <v>36</v>
      </c>
      <c r="F78" s="8" t="s">
        <v>14</v>
      </c>
      <c r="G78" s="8" t="s">
        <v>45</v>
      </c>
      <c r="H78" s="8">
        <v>2020</v>
      </c>
      <c r="I78" s="8" t="s">
        <v>42</v>
      </c>
      <c r="J78" s="10">
        <v>4325</v>
      </c>
    </row>
    <row r="79" spans="1:10" x14ac:dyDescent="0.25">
      <c r="A79" s="6">
        <v>76</v>
      </c>
      <c r="B79" s="7">
        <v>43909</v>
      </c>
      <c r="C79" s="8" t="s">
        <v>22</v>
      </c>
      <c r="D79" s="8" t="s">
        <v>23</v>
      </c>
      <c r="E79" s="8" t="s">
        <v>13</v>
      </c>
      <c r="F79" s="8" t="s">
        <v>30</v>
      </c>
      <c r="G79" s="8" t="s">
        <v>45</v>
      </c>
      <c r="H79" s="8">
        <v>2020</v>
      </c>
      <c r="I79" s="8" t="s">
        <v>42</v>
      </c>
      <c r="J79" s="10">
        <v>592</v>
      </c>
    </row>
    <row r="80" spans="1:10" x14ac:dyDescent="0.25">
      <c r="A80" s="6">
        <v>77</v>
      </c>
      <c r="B80" s="7">
        <v>43911</v>
      </c>
      <c r="C80" s="8" t="s">
        <v>31</v>
      </c>
      <c r="D80" s="8" t="s">
        <v>23</v>
      </c>
      <c r="E80" s="8" t="s">
        <v>13</v>
      </c>
      <c r="F80" s="8" t="s">
        <v>26</v>
      </c>
      <c r="G80" s="8" t="s">
        <v>45</v>
      </c>
      <c r="H80" s="8">
        <v>2020</v>
      </c>
      <c r="I80" s="8" t="s">
        <v>42</v>
      </c>
      <c r="J80" s="10">
        <v>4330</v>
      </c>
    </row>
    <row r="81" spans="1:10" x14ac:dyDescent="0.25">
      <c r="A81" s="6">
        <v>78</v>
      </c>
      <c r="B81" s="7">
        <v>43912</v>
      </c>
      <c r="C81" s="8" t="s">
        <v>22</v>
      </c>
      <c r="D81" s="8" t="s">
        <v>23</v>
      </c>
      <c r="E81" s="8" t="s">
        <v>19</v>
      </c>
      <c r="F81" s="8" t="s">
        <v>26</v>
      </c>
      <c r="G81" s="8" t="s">
        <v>45</v>
      </c>
      <c r="H81" s="8">
        <v>2020</v>
      </c>
      <c r="I81" s="8" t="s">
        <v>42</v>
      </c>
      <c r="J81" s="10">
        <v>9405</v>
      </c>
    </row>
    <row r="82" spans="1:10" x14ac:dyDescent="0.25">
      <c r="A82" s="6">
        <v>79</v>
      </c>
      <c r="B82" s="7">
        <v>43914</v>
      </c>
      <c r="C82" s="8" t="s">
        <v>35</v>
      </c>
      <c r="D82" s="8" t="s">
        <v>23</v>
      </c>
      <c r="E82" s="8" t="s">
        <v>36</v>
      </c>
      <c r="F82" s="8" t="s">
        <v>26</v>
      </c>
      <c r="G82" s="8" t="s">
        <v>45</v>
      </c>
      <c r="H82" s="8">
        <v>2020</v>
      </c>
      <c r="I82" s="8" t="s">
        <v>42</v>
      </c>
      <c r="J82" s="10">
        <v>7671</v>
      </c>
    </row>
    <row r="83" spans="1:10" x14ac:dyDescent="0.25">
      <c r="A83" s="6">
        <v>80</v>
      </c>
      <c r="B83" s="7">
        <v>43924</v>
      </c>
      <c r="C83" s="8" t="s">
        <v>11</v>
      </c>
      <c r="D83" s="8" t="s">
        <v>12</v>
      </c>
      <c r="E83" s="8" t="s">
        <v>19</v>
      </c>
      <c r="F83" s="8" t="s">
        <v>26</v>
      </c>
      <c r="G83" s="8" t="s">
        <v>46</v>
      </c>
      <c r="H83" s="8">
        <v>2020</v>
      </c>
      <c r="I83" s="8" t="s">
        <v>42</v>
      </c>
      <c r="J83" s="10">
        <v>5791</v>
      </c>
    </row>
    <row r="84" spans="1:10" x14ac:dyDescent="0.25">
      <c r="A84" s="6">
        <v>81</v>
      </c>
      <c r="B84" s="7">
        <v>43924</v>
      </c>
      <c r="C84" s="8" t="s">
        <v>22</v>
      </c>
      <c r="D84" s="8" t="s">
        <v>23</v>
      </c>
      <c r="E84" s="8" t="s">
        <v>25</v>
      </c>
      <c r="F84" s="8" t="s">
        <v>26</v>
      </c>
      <c r="G84" s="8" t="s">
        <v>46</v>
      </c>
      <c r="H84" s="8">
        <v>2020</v>
      </c>
      <c r="I84" s="8" t="s">
        <v>42</v>
      </c>
      <c r="J84" s="10">
        <v>6007</v>
      </c>
    </row>
    <row r="85" spans="1:10" x14ac:dyDescent="0.25">
      <c r="A85" s="6">
        <v>82</v>
      </c>
      <c r="B85" s="7">
        <v>43926</v>
      </c>
      <c r="C85" s="8" t="s">
        <v>22</v>
      </c>
      <c r="D85" s="8" t="s">
        <v>23</v>
      </c>
      <c r="E85" s="8" t="s">
        <v>29</v>
      </c>
      <c r="F85" s="8" t="s">
        <v>26</v>
      </c>
      <c r="G85" s="8" t="s">
        <v>46</v>
      </c>
      <c r="H85" s="8">
        <v>2020</v>
      </c>
      <c r="I85" s="8" t="s">
        <v>42</v>
      </c>
      <c r="J85" s="10">
        <v>5030</v>
      </c>
    </row>
    <row r="86" spans="1:10" x14ac:dyDescent="0.25">
      <c r="A86" s="6">
        <v>83</v>
      </c>
      <c r="B86" s="7">
        <v>43926</v>
      </c>
      <c r="C86" s="8" t="s">
        <v>11</v>
      </c>
      <c r="D86" s="8" t="s">
        <v>12</v>
      </c>
      <c r="E86" s="8" t="s">
        <v>19</v>
      </c>
      <c r="F86" s="8" t="s">
        <v>26</v>
      </c>
      <c r="G86" s="8" t="s">
        <v>46</v>
      </c>
      <c r="H86" s="8">
        <v>2020</v>
      </c>
      <c r="I86" s="8" t="s">
        <v>42</v>
      </c>
      <c r="J86" s="10">
        <v>6763</v>
      </c>
    </row>
    <row r="87" spans="1:10" x14ac:dyDescent="0.25">
      <c r="A87" s="6">
        <v>84</v>
      </c>
      <c r="B87" s="7">
        <v>43926</v>
      </c>
      <c r="C87" s="8" t="s">
        <v>22</v>
      </c>
      <c r="D87" s="8" t="s">
        <v>23</v>
      </c>
      <c r="E87" s="8" t="s">
        <v>32</v>
      </c>
      <c r="F87" s="8" t="s">
        <v>26</v>
      </c>
      <c r="G87" s="8" t="s">
        <v>46</v>
      </c>
      <c r="H87" s="8">
        <v>2020</v>
      </c>
      <c r="I87" s="8" t="s">
        <v>42</v>
      </c>
      <c r="J87" s="10">
        <v>4248</v>
      </c>
    </row>
    <row r="88" spans="1:10" x14ac:dyDescent="0.25">
      <c r="A88" s="6">
        <v>85</v>
      </c>
      <c r="B88" s="7">
        <v>43927</v>
      </c>
      <c r="C88" s="8" t="s">
        <v>22</v>
      </c>
      <c r="D88" s="8" t="s">
        <v>23</v>
      </c>
      <c r="E88" s="8" t="s">
        <v>36</v>
      </c>
      <c r="F88" s="8" t="s">
        <v>26</v>
      </c>
      <c r="G88" s="8" t="s">
        <v>46</v>
      </c>
      <c r="H88" s="8">
        <v>2020</v>
      </c>
      <c r="I88" s="8" t="s">
        <v>42</v>
      </c>
      <c r="J88" s="10">
        <v>9543</v>
      </c>
    </row>
    <row r="89" spans="1:10" x14ac:dyDescent="0.25">
      <c r="A89" s="6">
        <v>86</v>
      </c>
      <c r="B89" s="7">
        <v>43930</v>
      </c>
      <c r="C89" s="8" t="s">
        <v>18</v>
      </c>
      <c r="D89" s="8" t="s">
        <v>12</v>
      </c>
      <c r="E89" s="8" t="s">
        <v>19</v>
      </c>
      <c r="F89" s="8" t="s">
        <v>26</v>
      </c>
      <c r="G89" s="8" t="s">
        <v>46</v>
      </c>
      <c r="H89" s="8">
        <v>2020</v>
      </c>
      <c r="I89" s="8" t="s">
        <v>42</v>
      </c>
      <c r="J89" s="10">
        <v>2054</v>
      </c>
    </row>
    <row r="90" spans="1:10" x14ac:dyDescent="0.25">
      <c r="A90" s="6">
        <v>87</v>
      </c>
      <c r="B90" s="7">
        <v>43931</v>
      </c>
      <c r="C90" s="8" t="s">
        <v>28</v>
      </c>
      <c r="D90" s="8" t="s">
        <v>12</v>
      </c>
      <c r="E90" s="8" t="s">
        <v>29</v>
      </c>
      <c r="F90" s="8" t="s">
        <v>26</v>
      </c>
      <c r="G90" s="8" t="s">
        <v>46</v>
      </c>
      <c r="H90" s="8">
        <v>2020</v>
      </c>
      <c r="I90" s="8" t="s">
        <v>42</v>
      </c>
      <c r="J90" s="10">
        <v>7094</v>
      </c>
    </row>
    <row r="91" spans="1:10" x14ac:dyDescent="0.25">
      <c r="A91" s="6">
        <v>88</v>
      </c>
      <c r="B91" s="7">
        <v>43931</v>
      </c>
      <c r="C91" s="8" t="s">
        <v>11</v>
      </c>
      <c r="D91" s="8" t="s">
        <v>12</v>
      </c>
      <c r="E91" s="8" t="s">
        <v>13</v>
      </c>
      <c r="F91" s="8" t="s">
        <v>26</v>
      </c>
      <c r="G91" s="8" t="s">
        <v>46</v>
      </c>
      <c r="H91" s="8">
        <v>2020</v>
      </c>
      <c r="I91" s="8" t="s">
        <v>42</v>
      </c>
      <c r="J91" s="10">
        <v>6087</v>
      </c>
    </row>
    <row r="92" spans="1:10" x14ac:dyDescent="0.25">
      <c r="A92" s="6">
        <v>89</v>
      </c>
      <c r="B92" s="7">
        <v>43932</v>
      </c>
      <c r="C92" s="8" t="s">
        <v>35</v>
      </c>
      <c r="D92" s="8" t="s">
        <v>23</v>
      </c>
      <c r="E92" s="8" t="s">
        <v>32</v>
      </c>
      <c r="F92" s="8" t="s">
        <v>26</v>
      </c>
      <c r="G92" s="8" t="s">
        <v>46</v>
      </c>
      <c r="H92" s="8">
        <v>2020</v>
      </c>
      <c r="I92" s="8" t="s">
        <v>42</v>
      </c>
      <c r="J92" s="10">
        <v>4264</v>
      </c>
    </row>
    <row r="93" spans="1:10" x14ac:dyDescent="0.25">
      <c r="A93" s="6">
        <v>90</v>
      </c>
      <c r="B93" s="7">
        <v>43932</v>
      </c>
      <c r="C93" s="8" t="s">
        <v>43</v>
      </c>
      <c r="D93" s="8" t="s">
        <v>23</v>
      </c>
      <c r="E93" s="8" t="s">
        <v>13</v>
      </c>
      <c r="F93" s="8" t="s">
        <v>14</v>
      </c>
      <c r="G93" s="8" t="s">
        <v>46</v>
      </c>
      <c r="H93" s="8">
        <v>2020</v>
      </c>
      <c r="I93" s="8" t="s">
        <v>42</v>
      </c>
      <c r="J93" s="10">
        <v>9333</v>
      </c>
    </row>
    <row r="94" spans="1:10" x14ac:dyDescent="0.25">
      <c r="A94" s="6">
        <v>91</v>
      </c>
      <c r="B94" s="7">
        <v>43933</v>
      </c>
      <c r="C94" s="8" t="s">
        <v>43</v>
      </c>
      <c r="D94" s="8" t="s">
        <v>23</v>
      </c>
      <c r="E94" s="8" t="s">
        <v>29</v>
      </c>
      <c r="F94" s="8" t="s">
        <v>26</v>
      </c>
      <c r="G94" s="8" t="s">
        <v>46</v>
      </c>
      <c r="H94" s="8">
        <v>2020</v>
      </c>
      <c r="I94" s="8" t="s">
        <v>42</v>
      </c>
      <c r="J94" s="10">
        <v>8775</v>
      </c>
    </row>
    <row r="95" spans="1:10" x14ac:dyDescent="0.25">
      <c r="A95" s="6">
        <v>92</v>
      </c>
      <c r="B95" s="7">
        <v>43933</v>
      </c>
      <c r="C95" s="8" t="s">
        <v>18</v>
      </c>
      <c r="D95" s="8" t="s">
        <v>12</v>
      </c>
      <c r="E95" s="8" t="s">
        <v>19</v>
      </c>
      <c r="F95" s="8" t="s">
        <v>26</v>
      </c>
      <c r="G95" s="8" t="s">
        <v>46</v>
      </c>
      <c r="H95" s="8">
        <v>2020</v>
      </c>
      <c r="I95" s="8" t="s">
        <v>42</v>
      </c>
      <c r="J95" s="10">
        <v>2011</v>
      </c>
    </row>
    <row r="96" spans="1:10" x14ac:dyDescent="0.25">
      <c r="A96" s="6">
        <v>93</v>
      </c>
      <c r="B96" s="7">
        <v>43935</v>
      </c>
      <c r="C96" s="8" t="s">
        <v>22</v>
      </c>
      <c r="D96" s="8" t="s">
        <v>23</v>
      </c>
      <c r="E96" s="8" t="s">
        <v>13</v>
      </c>
      <c r="F96" s="8" t="s">
        <v>26</v>
      </c>
      <c r="G96" s="8" t="s">
        <v>46</v>
      </c>
      <c r="H96" s="8">
        <v>2020</v>
      </c>
      <c r="I96" s="8" t="s">
        <v>42</v>
      </c>
      <c r="J96" s="10">
        <v>5632</v>
      </c>
    </row>
    <row r="97" spans="1:10" x14ac:dyDescent="0.25">
      <c r="A97" s="6">
        <v>94</v>
      </c>
      <c r="B97" s="7">
        <v>43939</v>
      </c>
      <c r="C97" s="8" t="s">
        <v>22</v>
      </c>
      <c r="D97" s="8" t="s">
        <v>23</v>
      </c>
      <c r="E97" s="8" t="s">
        <v>33</v>
      </c>
      <c r="F97" s="8" t="s">
        <v>26</v>
      </c>
      <c r="G97" s="8" t="s">
        <v>46</v>
      </c>
      <c r="H97" s="8">
        <v>2020</v>
      </c>
      <c r="I97" s="8" t="s">
        <v>42</v>
      </c>
      <c r="J97" s="10">
        <v>4904</v>
      </c>
    </row>
    <row r="98" spans="1:10" x14ac:dyDescent="0.25">
      <c r="A98" s="6">
        <v>95</v>
      </c>
      <c r="B98" s="7">
        <v>43939</v>
      </c>
      <c r="C98" s="8" t="s">
        <v>28</v>
      </c>
      <c r="D98" s="8" t="s">
        <v>12</v>
      </c>
      <c r="E98" s="8" t="s">
        <v>32</v>
      </c>
      <c r="F98" s="8" t="s">
        <v>14</v>
      </c>
      <c r="G98" s="8" t="s">
        <v>46</v>
      </c>
      <c r="H98" s="8">
        <v>2020</v>
      </c>
      <c r="I98" s="8" t="s">
        <v>42</v>
      </c>
      <c r="J98" s="10">
        <v>1002</v>
      </c>
    </row>
    <row r="99" spans="1:10" x14ac:dyDescent="0.25">
      <c r="A99" s="6">
        <v>96</v>
      </c>
      <c r="B99" s="7">
        <v>43941</v>
      </c>
      <c r="C99" s="8" t="s">
        <v>31</v>
      </c>
      <c r="D99" s="8" t="s">
        <v>23</v>
      </c>
      <c r="E99" s="8" t="s">
        <v>19</v>
      </c>
      <c r="F99" s="8" t="s">
        <v>14</v>
      </c>
      <c r="G99" s="8" t="s">
        <v>46</v>
      </c>
      <c r="H99" s="8">
        <v>2020</v>
      </c>
      <c r="I99" s="8" t="s">
        <v>42</v>
      </c>
      <c r="J99" s="10">
        <v>8141</v>
      </c>
    </row>
    <row r="100" spans="1:10" x14ac:dyDescent="0.25">
      <c r="A100" s="6">
        <v>97</v>
      </c>
      <c r="B100" s="7">
        <v>43945</v>
      </c>
      <c r="C100" s="8" t="s">
        <v>31</v>
      </c>
      <c r="D100" s="8" t="s">
        <v>23</v>
      </c>
      <c r="E100" s="8" t="s">
        <v>25</v>
      </c>
      <c r="F100" s="8" t="s">
        <v>14</v>
      </c>
      <c r="G100" s="8" t="s">
        <v>46</v>
      </c>
      <c r="H100" s="8">
        <v>2020</v>
      </c>
      <c r="I100" s="8" t="s">
        <v>42</v>
      </c>
      <c r="J100" s="10">
        <v>3644</v>
      </c>
    </row>
    <row r="101" spans="1:10" x14ac:dyDescent="0.25">
      <c r="A101" s="6">
        <v>98</v>
      </c>
      <c r="B101" s="7">
        <v>43947</v>
      </c>
      <c r="C101" s="8" t="s">
        <v>31</v>
      </c>
      <c r="D101" s="8" t="s">
        <v>23</v>
      </c>
      <c r="E101" s="8" t="s">
        <v>32</v>
      </c>
      <c r="F101" s="8" t="s">
        <v>14</v>
      </c>
      <c r="G101" s="8" t="s">
        <v>46</v>
      </c>
      <c r="H101" s="8">
        <v>2020</v>
      </c>
      <c r="I101" s="8" t="s">
        <v>42</v>
      </c>
      <c r="J101" s="10">
        <v>1380</v>
      </c>
    </row>
    <row r="102" spans="1:10" x14ac:dyDescent="0.25">
      <c r="A102" s="6">
        <v>99</v>
      </c>
      <c r="B102" s="7">
        <v>43947</v>
      </c>
      <c r="C102" s="8" t="s">
        <v>18</v>
      </c>
      <c r="D102" s="8" t="s">
        <v>12</v>
      </c>
      <c r="E102" s="8" t="s">
        <v>29</v>
      </c>
      <c r="F102" s="8" t="s">
        <v>14</v>
      </c>
      <c r="G102" s="8" t="s">
        <v>46</v>
      </c>
      <c r="H102" s="8">
        <v>2020</v>
      </c>
      <c r="I102" s="8" t="s">
        <v>42</v>
      </c>
      <c r="J102" s="10">
        <v>8354</v>
      </c>
    </row>
    <row r="103" spans="1:10" x14ac:dyDescent="0.25">
      <c r="A103" s="6">
        <v>100</v>
      </c>
      <c r="B103" s="7">
        <v>43947</v>
      </c>
      <c r="C103" s="8" t="s">
        <v>22</v>
      </c>
      <c r="D103" s="8" t="s">
        <v>23</v>
      </c>
      <c r="E103" s="8" t="s">
        <v>13</v>
      </c>
      <c r="F103" s="8" t="s">
        <v>14</v>
      </c>
      <c r="G103" s="8" t="s">
        <v>46</v>
      </c>
      <c r="H103" s="8">
        <v>2020</v>
      </c>
      <c r="I103" s="8" t="s">
        <v>42</v>
      </c>
      <c r="J103" s="10">
        <v>5182</v>
      </c>
    </row>
    <row r="104" spans="1:10" x14ac:dyDescent="0.25">
      <c r="A104" s="6">
        <v>101</v>
      </c>
      <c r="B104" s="7">
        <v>43948</v>
      </c>
      <c r="C104" s="8" t="s">
        <v>35</v>
      </c>
      <c r="D104" s="8" t="s">
        <v>23</v>
      </c>
      <c r="E104" s="8" t="s">
        <v>36</v>
      </c>
      <c r="F104" s="8" t="s">
        <v>14</v>
      </c>
      <c r="G104" s="8" t="s">
        <v>46</v>
      </c>
      <c r="H104" s="8">
        <v>2020</v>
      </c>
      <c r="I104" s="8" t="s">
        <v>42</v>
      </c>
      <c r="J104" s="10">
        <v>2193</v>
      </c>
    </row>
    <row r="105" spans="1:10" x14ac:dyDescent="0.25">
      <c r="A105" s="6">
        <v>102</v>
      </c>
      <c r="B105" s="7">
        <v>43948</v>
      </c>
      <c r="C105" s="8" t="s">
        <v>43</v>
      </c>
      <c r="D105" s="8" t="s">
        <v>23</v>
      </c>
      <c r="E105" s="8" t="s">
        <v>13</v>
      </c>
      <c r="F105" s="8" t="s">
        <v>14</v>
      </c>
      <c r="G105" s="8" t="s">
        <v>46</v>
      </c>
      <c r="H105" s="8">
        <v>2020</v>
      </c>
      <c r="I105" s="8" t="s">
        <v>42</v>
      </c>
      <c r="J105" s="10">
        <v>3647</v>
      </c>
    </row>
    <row r="106" spans="1:10" x14ac:dyDescent="0.25">
      <c r="A106" s="6">
        <v>103</v>
      </c>
      <c r="B106" s="7">
        <v>43949</v>
      </c>
      <c r="C106" s="8" t="s">
        <v>35</v>
      </c>
      <c r="D106" s="8" t="s">
        <v>23</v>
      </c>
      <c r="E106" s="8" t="s">
        <v>13</v>
      </c>
      <c r="F106" s="8" t="s">
        <v>14</v>
      </c>
      <c r="G106" s="8" t="s">
        <v>46</v>
      </c>
      <c r="H106" s="8">
        <v>2020</v>
      </c>
      <c r="I106" s="8" t="s">
        <v>42</v>
      </c>
      <c r="J106" s="10">
        <v>4104</v>
      </c>
    </row>
    <row r="107" spans="1:10" x14ac:dyDescent="0.25">
      <c r="A107" s="6">
        <v>104</v>
      </c>
      <c r="B107" s="7">
        <v>43951</v>
      </c>
      <c r="C107" s="8" t="s">
        <v>11</v>
      </c>
      <c r="D107" s="8" t="s">
        <v>12</v>
      </c>
      <c r="E107" s="8" t="s">
        <v>13</v>
      </c>
      <c r="F107" s="8" t="s">
        <v>14</v>
      </c>
      <c r="G107" s="8" t="s">
        <v>46</v>
      </c>
      <c r="H107" s="8">
        <v>2020</v>
      </c>
      <c r="I107" s="8" t="s">
        <v>42</v>
      </c>
      <c r="J107" s="10">
        <v>7457</v>
      </c>
    </row>
    <row r="108" spans="1:10" x14ac:dyDescent="0.25">
      <c r="A108" s="6">
        <v>105</v>
      </c>
      <c r="B108" s="7">
        <v>43952</v>
      </c>
      <c r="C108" s="8" t="s">
        <v>43</v>
      </c>
      <c r="D108" s="8" t="s">
        <v>23</v>
      </c>
      <c r="E108" s="8" t="s">
        <v>25</v>
      </c>
      <c r="F108" s="8" t="s">
        <v>14</v>
      </c>
      <c r="G108" s="8" t="s">
        <v>47</v>
      </c>
      <c r="H108" s="8">
        <v>2020</v>
      </c>
      <c r="I108" s="8" t="s">
        <v>48</v>
      </c>
      <c r="J108" s="10">
        <v>3767</v>
      </c>
    </row>
    <row r="109" spans="1:10" x14ac:dyDescent="0.25">
      <c r="A109" s="6">
        <v>106</v>
      </c>
      <c r="B109" s="7">
        <v>43953</v>
      </c>
      <c r="C109" s="8" t="s">
        <v>18</v>
      </c>
      <c r="D109" s="8" t="s">
        <v>12</v>
      </c>
      <c r="E109" s="8" t="s">
        <v>29</v>
      </c>
      <c r="F109" s="8" t="s">
        <v>14</v>
      </c>
      <c r="G109" s="8" t="s">
        <v>47</v>
      </c>
      <c r="H109" s="8">
        <v>2020</v>
      </c>
      <c r="I109" s="8" t="s">
        <v>48</v>
      </c>
      <c r="J109" s="10">
        <v>4685</v>
      </c>
    </row>
    <row r="110" spans="1:10" x14ac:dyDescent="0.25">
      <c r="A110" s="6">
        <v>107</v>
      </c>
      <c r="B110" s="7">
        <v>43955</v>
      </c>
      <c r="C110" s="8" t="s">
        <v>22</v>
      </c>
      <c r="D110" s="8" t="s">
        <v>23</v>
      </c>
      <c r="E110" s="8" t="s">
        <v>13</v>
      </c>
      <c r="F110" s="8" t="s">
        <v>14</v>
      </c>
      <c r="G110" s="8" t="s">
        <v>47</v>
      </c>
      <c r="H110" s="8">
        <v>2020</v>
      </c>
      <c r="I110" s="8" t="s">
        <v>48</v>
      </c>
      <c r="J110" s="10">
        <v>3917</v>
      </c>
    </row>
    <row r="111" spans="1:10" x14ac:dyDescent="0.25">
      <c r="A111" s="6">
        <v>108</v>
      </c>
      <c r="B111" s="7">
        <v>43956</v>
      </c>
      <c r="C111" s="8" t="s">
        <v>35</v>
      </c>
      <c r="D111" s="8" t="s">
        <v>23</v>
      </c>
      <c r="E111" s="8" t="s">
        <v>25</v>
      </c>
      <c r="F111" s="8" t="s">
        <v>14</v>
      </c>
      <c r="G111" s="8" t="s">
        <v>47</v>
      </c>
      <c r="H111" s="8">
        <v>2020</v>
      </c>
      <c r="I111" s="8" t="s">
        <v>48</v>
      </c>
      <c r="J111" s="10">
        <v>521</v>
      </c>
    </row>
    <row r="112" spans="1:10" x14ac:dyDescent="0.25">
      <c r="A112" s="6">
        <v>109</v>
      </c>
      <c r="B112" s="7">
        <v>43956</v>
      </c>
      <c r="C112" s="8" t="s">
        <v>35</v>
      </c>
      <c r="D112" s="8" t="s">
        <v>23</v>
      </c>
      <c r="E112" s="8" t="s">
        <v>36</v>
      </c>
      <c r="F112" s="8" t="s">
        <v>30</v>
      </c>
      <c r="G112" s="8" t="s">
        <v>47</v>
      </c>
      <c r="H112" s="8">
        <v>2020</v>
      </c>
      <c r="I112" s="8" t="s">
        <v>48</v>
      </c>
      <c r="J112" s="10">
        <v>5605</v>
      </c>
    </row>
    <row r="113" spans="1:10" x14ac:dyDescent="0.25">
      <c r="A113" s="6">
        <v>110</v>
      </c>
      <c r="B113" s="7">
        <v>43956</v>
      </c>
      <c r="C113" s="8" t="s">
        <v>18</v>
      </c>
      <c r="D113" s="8" t="s">
        <v>12</v>
      </c>
      <c r="E113" s="8" t="s">
        <v>29</v>
      </c>
      <c r="F113" s="8" t="s">
        <v>14</v>
      </c>
      <c r="G113" s="8" t="s">
        <v>47</v>
      </c>
      <c r="H113" s="8">
        <v>2020</v>
      </c>
      <c r="I113" s="8" t="s">
        <v>48</v>
      </c>
      <c r="J113" s="10">
        <v>9630</v>
      </c>
    </row>
    <row r="114" spans="1:10" x14ac:dyDescent="0.25">
      <c r="A114" s="6">
        <v>111</v>
      </c>
      <c r="B114" s="7">
        <v>43957</v>
      </c>
      <c r="C114" s="8" t="s">
        <v>22</v>
      </c>
      <c r="D114" s="8" t="s">
        <v>23</v>
      </c>
      <c r="E114" s="8" t="s">
        <v>25</v>
      </c>
      <c r="F114" s="8" t="s">
        <v>14</v>
      </c>
      <c r="G114" s="8" t="s">
        <v>47</v>
      </c>
      <c r="H114" s="8">
        <v>2020</v>
      </c>
      <c r="I114" s="8" t="s">
        <v>48</v>
      </c>
      <c r="J114" s="10">
        <v>6941</v>
      </c>
    </row>
    <row r="115" spans="1:10" x14ac:dyDescent="0.25">
      <c r="A115" s="6">
        <v>112</v>
      </c>
      <c r="B115" s="7">
        <v>43959</v>
      </c>
      <c r="C115" s="8" t="s">
        <v>18</v>
      </c>
      <c r="D115" s="8" t="s">
        <v>12</v>
      </c>
      <c r="E115" s="8" t="s">
        <v>19</v>
      </c>
      <c r="F115" s="8" t="s">
        <v>14</v>
      </c>
      <c r="G115" s="8" t="s">
        <v>47</v>
      </c>
      <c r="H115" s="8">
        <v>2020</v>
      </c>
      <c r="I115" s="8" t="s">
        <v>48</v>
      </c>
      <c r="J115" s="10">
        <v>7231</v>
      </c>
    </row>
    <row r="116" spans="1:10" x14ac:dyDescent="0.25">
      <c r="A116" s="6">
        <v>113</v>
      </c>
      <c r="B116" s="7">
        <v>43959</v>
      </c>
      <c r="C116" s="8" t="s">
        <v>18</v>
      </c>
      <c r="D116" s="8" t="s">
        <v>12</v>
      </c>
      <c r="E116" s="8" t="s">
        <v>32</v>
      </c>
      <c r="F116" s="8" t="s">
        <v>14</v>
      </c>
      <c r="G116" s="8" t="s">
        <v>47</v>
      </c>
      <c r="H116" s="8">
        <v>2020</v>
      </c>
      <c r="I116" s="8" t="s">
        <v>48</v>
      </c>
      <c r="J116" s="10">
        <v>8891</v>
      </c>
    </row>
    <row r="117" spans="1:10" x14ac:dyDescent="0.25">
      <c r="A117" s="6">
        <v>114</v>
      </c>
      <c r="B117" s="7">
        <v>43959</v>
      </c>
      <c r="C117" s="8" t="s">
        <v>22</v>
      </c>
      <c r="D117" s="8" t="s">
        <v>23</v>
      </c>
      <c r="E117" s="8" t="s">
        <v>36</v>
      </c>
      <c r="F117" s="8" t="s">
        <v>14</v>
      </c>
      <c r="G117" s="8" t="s">
        <v>47</v>
      </c>
      <c r="H117" s="8">
        <v>2020</v>
      </c>
      <c r="I117" s="8" t="s">
        <v>48</v>
      </c>
      <c r="J117" s="10">
        <v>107</v>
      </c>
    </row>
    <row r="118" spans="1:10" x14ac:dyDescent="0.25">
      <c r="A118" s="6">
        <v>115</v>
      </c>
      <c r="B118" s="7">
        <v>43961</v>
      </c>
      <c r="C118" s="8" t="s">
        <v>22</v>
      </c>
      <c r="D118" s="8" t="s">
        <v>23</v>
      </c>
      <c r="E118" s="8" t="s">
        <v>13</v>
      </c>
      <c r="F118" s="8" t="s">
        <v>14</v>
      </c>
      <c r="G118" s="8" t="s">
        <v>47</v>
      </c>
      <c r="H118" s="8">
        <v>2020</v>
      </c>
      <c r="I118" s="8" t="s">
        <v>48</v>
      </c>
      <c r="J118" s="10">
        <v>4243</v>
      </c>
    </row>
    <row r="119" spans="1:10" x14ac:dyDescent="0.25">
      <c r="A119" s="6">
        <v>116</v>
      </c>
      <c r="B119" s="7">
        <v>43964</v>
      </c>
      <c r="C119" s="8" t="s">
        <v>31</v>
      </c>
      <c r="D119" s="8" t="s">
        <v>23</v>
      </c>
      <c r="E119" s="8" t="s">
        <v>13</v>
      </c>
      <c r="F119" s="8" t="s">
        <v>14</v>
      </c>
      <c r="G119" s="8" t="s">
        <v>47</v>
      </c>
      <c r="H119" s="8">
        <v>2020</v>
      </c>
      <c r="I119" s="8" t="s">
        <v>48</v>
      </c>
      <c r="J119" s="10">
        <v>4514</v>
      </c>
    </row>
    <row r="120" spans="1:10" x14ac:dyDescent="0.25">
      <c r="A120" s="6">
        <v>117</v>
      </c>
      <c r="B120" s="7">
        <v>43965</v>
      </c>
      <c r="C120" s="8" t="s">
        <v>43</v>
      </c>
      <c r="D120" s="8" t="s">
        <v>23</v>
      </c>
      <c r="E120" s="8" t="s">
        <v>13</v>
      </c>
      <c r="F120" s="8" t="s">
        <v>14</v>
      </c>
      <c r="G120" s="8" t="s">
        <v>47</v>
      </c>
      <c r="H120" s="8">
        <v>2020</v>
      </c>
      <c r="I120" s="8" t="s">
        <v>48</v>
      </c>
      <c r="J120" s="10">
        <v>5480</v>
      </c>
    </row>
    <row r="121" spans="1:10" x14ac:dyDescent="0.25">
      <c r="A121" s="6">
        <v>118</v>
      </c>
      <c r="B121" s="7">
        <v>43967</v>
      </c>
      <c r="C121" s="8" t="s">
        <v>22</v>
      </c>
      <c r="D121" s="8" t="s">
        <v>23</v>
      </c>
      <c r="E121" s="8" t="s">
        <v>36</v>
      </c>
      <c r="F121" s="8" t="s">
        <v>14</v>
      </c>
      <c r="G121" s="8" t="s">
        <v>47</v>
      </c>
      <c r="H121" s="8">
        <v>2020</v>
      </c>
      <c r="I121" s="8" t="s">
        <v>48</v>
      </c>
      <c r="J121" s="10">
        <v>5002</v>
      </c>
    </row>
    <row r="122" spans="1:10" x14ac:dyDescent="0.25">
      <c r="A122" s="6">
        <v>119</v>
      </c>
      <c r="B122" s="7">
        <v>43971</v>
      </c>
      <c r="C122" s="8" t="s">
        <v>22</v>
      </c>
      <c r="D122" s="8" t="s">
        <v>23</v>
      </c>
      <c r="E122" s="8" t="s">
        <v>25</v>
      </c>
      <c r="F122" s="8" t="s">
        <v>14</v>
      </c>
      <c r="G122" s="8" t="s">
        <v>47</v>
      </c>
      <c r="H122" s="8">
        <v>2020</v>
      </c>
      <c r="I122" s="8" t="s">
        <v>48</v>
      </c>
      <c r="J122" s="10">
        <v>8530</v>
      </c>
    </row>
    <row r="123" spans="1:10" x14ac:dyDescent="0.25">
      <c r="A123" s="6">
        <v>120</v>
      </c>
      <c r="B123" s="7">
        <v>43972</v>
      </c>
      <c r="C123" s="8" t="s">
        <v>31</v>
      </c>
      <c r="D123" s="8" t="s">
        <v>23</v>
      </c>
      <c r="E123" s="8" t="s">
        <v>33</v>
      </c>
      <c r="F123" s="8" t="s">
        <v>14</v>
      </c>
      <c r="G123" s="8" t="s">
        <v>47</v>
      </c>
      <c r="H123" s="8">
        <v>2020</v>
      </c>
      <c r="I123" s="8" t="s">
        <v>48</v>
      </c>
      <c r="J123" s="10">
        <v>4819</v>
      </c>
    </row>
    <row r="124" spans="1:10" x14ac:dyDescent="0.25">
      <c r="A124" s="6">
        <v>121</v>
      </c>
      <c r="B124" s="7">
        <v>43973</v>
      </c>
      <c r="C124" s="8" t="s">
        <v>18</v>
      </c>
      <c r="D124" s="8" t="s">
        <v>12</v>
      </c>
      <c r="E124" s="8" t="s">
        <v>19</v>
      </c>
      <c r="F124" s="8" t="s">
        <v>30</v>
      </c>
      <c r="G124" s="8" t="s">
        <v>47</v>
      </c>
      <c r="H124" s="8">
        <v>2020</v>
      </c>
      <c r="I124" s="8" t="s">
        <v>48</v>
      </c>
      <c r="J124" s="10">
        <v>6343</v>
      </c>
    </row>
    <row r="125" spans="1:10" x14ac:dyDescent="0.25">
      <c r="A125" s="6">
        <v>122</v>
      </c>
      <c r="B125" s="7">
        <v>43974</v>
      </c>
      <c r="C125" s="8" t="s">
        <v>31</v>
      </c>
      <c r="D125" s="8" t="s">
        <v>23</v>
      </c>
      <c r="E125" s="8" t="s">
        <v>19</v>
      </c>
      <c r="F125" s="8" t="s">
        <v>14</v>
      </c>
      <c r="G125" s="8" t="s">
        <v>47</v>
      </c>
      <c r="H125" s="8">
        <v>2020</v>
      </c>
      <c r="I125" s="8" t="s">
        <v>48</v>
      </c>
      <c r="J125" s="10">
        <v>2318</v>
      </c>
    </row>
    <row r="126" spans="1:10" x14ac:dyDescent="0.25">
      <c r="A126" s="6">
        <v>123</v>
      </c>
      <c r="B126" s="7">
        <v>43975</v>
      </c>
      <c r="C126" s="8" t="s">
        <v>31</v>
      </c>
      <c r="D126" s="8" t="s">
        <v>23</v>
      </c>
      <c r="E126" s="8" t="s">
        <v>19</v>
      </c>
      <c r="F126" s="8" t="s">
        <v>14</v>
      </c>
      <c r="G126" s="8" t="s">
        <v>47</v>
      </c>
      <c r="H126" s="8">
        <v>2020</v>
      </c>
      <c r="I126" s="8" t="s">
        <v>48</v>
      </c>
      <c r="J126" s="10">
        <v>220</v>
      </c>
    </row>
    <row r="127" spans="1:10" x14ac:dyDescent="0.25">
      <c r="A127" s="6">
        <v>124</v>
      </c>
      <c r="B127" s="7">
        <v>43975</v>
      </c>
      <c r="C127" s="8" t="s">
        <v>31</v>
      </c>
      <c r="D127" s="8" t="s">
        <v>23</v>
      </c>
      <c r="E127" s="8" t="s">
        <v>33</v>
      </c>
      <c r="F127" s="8" t="s">
        <v>30</v>
      </c>
      <c r="G127" s="8" t="s">
        <v>47</v>
      </c>
      <c r="H127" s="8">
        <v>2020</v>
      </c>
      <c r="I127" s="8" t="s">
        <v>48</v>
      </c>
      <c r="J127" s="10">
        <v>6341</v>
      </c>
    </row>
    <row r="128" spans="1:10" x14ac:dyDescent="0.25">
      <c r="A128" s="6">
        <v>125</v>
      </c>
      <c r="B128" s="7">
        <v>43977</v>
      </c>
      <c r="C128" s="8" t="s">
        <v>35</v>
      </c>
      <c r="D128" s="8" t="s">
        <v>23</v>
      </c>
      <c r="E128" s="8" t="s">
        <v>29</v>
      </c>
      <c r="F128" s="8" t="s">
        <v>30</v>
      </c>
      <c r="G128" s="8" t="s">
        <v>47</v>
      </c>
      <c r="H128" s="8">
        <v>2020</v>
      </c>
      <c r="I128" s="8" t="s">
        <v>48</v>
      </c>
      <c r="J128" s="10">
        <v>330</v>
      </c>
    </row>
    <row r="129" spans="1:10" x14ac:dyDescent="0.25">
      <c r="A129" s="6">
        <v>126</v>
      </c>
      <c r="B129" s="7">
        <v>43978</v>
      </c>
      <c r="C129" s="8" t="s">
        <v>18</v>
      </c>
      <c r="D129" s="8" t="s">
        <v>12</v>
      </c>
      <c r="E129" s="8" t="s">
        <v>19</v>
      </c>
      <c r="F129" s="8" t="s">
        <v>30</v>
      </c>
      <c r="G129" s="8" t="s">
        <v>47</v>
      </c>
      <c r="H129" s="8">
        <v>2020</v>
      </c>
      <c r="I129" s="8" t="s">
        <v>48</v>
      </c>
      <c r="J129" s="10">
        <v>3027</v>
      </c>
    </row>
    <row r="130" spans="1:10" x14ac:dyDescent="0.25">
      <c r="A130" s="6">
        <v>127</v>
      </c>
      <c r="B130" s="7">
        <v>43979</v>
      </c>
      <c r="C130" s="8" t="s">
        <v>31</v>
      </c>
      <c r="D130" s="8" t="s">
        <v>23</v>
      </c>
      <c r="E130" s="8" t="s">
        <v>33</v>
      </c>
      <c r="F130" s="8" t="s">
        <v>26</v>
      </c>
      <c r="G130" s="8" t="s">
        <v>47</v>
      </c>
      <c r="H130" s="8">
        <v>2020</v>
      </c>
      <c r="I130" s="8" t="s">
        <v>48</v>
      </c>
      <c r="J130" s="10">
        <v>850</v>
      </c>
    </row>
    <row r="131" spans="1:10" x14ac:dyDescent="0.25">
      <c r="A131" s="6">
        <v>128</v>
      </c>
      <c r="B131" s="7">
        <v>43980</v>
      </c>
      <c r="C131" s="8" t="s">
        <v>22</v>
      </c>
      <c r="D131" s="8" t="s">
        <v>23</v>
      </c>
      <c r="E131" s="8" t="s">
        <v>19</v>
      </c>
      <c r="F131" s="8" t="s">
        <v>30</v>
      </c>
      <c r="G131" s="8" t="s">
        <v>47</v>
      </c>
      <c r="H131" s="8">
        <v>2020</v>
      </c>
      <c r="I131" s="8" t="s">
        <v>48</v>
      </c>
      <c r="J131" s="10">
        <v>8986</v>
      </c>
    </row>
    <row r="132" spans="1:10" x14ac:dyDescent="0.25">
      <c r="A132" s="6">
        <v>129</v>
      </c>
      <c r="B132" s="7">
        <v>43983</v>
      </c>
      <c r="C132" s="8" t="s">
        <v>18</v>
      </c>
      <c r="D132" s="8" t="s">
        <v>12</v>
      </c>
      <c r="E132" s="8" t="s">
        <v>13</v>
      </c>
      <c r="F132" s="8" t="s">
        <v>30</v>
      </c>
      <c r="G132" s="8" t="s">
        <v>49</v>
      </c>
      <c r="H132" s="8">
        <v>2020</v>
      </c>
      <c r="I132" s="8" t="s">
        <v>48</v>
      </c>
      <c r="J132" s="10">
        <v>3800</v>
      </c>
    </row>
    <row r="133" spans="1:10" x14ac:dyDescent="0.25">
      <c r="A133" s="6">
        <v>130</v>
      </c>
      <c r="B133" s="7">
        <v>43988</v>
      </c>
      <c r="C133" s="8" t="s">
        <v>11</v>
      </c>
      <c r="D133" s="8" t="s">
        <v>12</v>
      </c>
      <c r="E133" s="8" t="s">
        <v>19</v>
      </c>
      <c r="F133" s="8" t="s">
        <v>30</v>
      </c>
      <c r="G133" s="8" t="s">
        <v>49</v>
      </c>
      <c r="H133" s="8">
        <v>2020</v>
      </c>
      <c r="I133" s="8" t="s">
        <v>48</v>
      </c>
      <c r="J133" s="10">
        <v>5751</v>
      </c>
    </row>
    <row r="134" spans="1:10" x14ac:dyDescent="0.25">
      <c r="A134" s="6">
        <v>131</v>
      </c>
      <c r="B134" s="7">
        <v>43988</v>
      </c>
      <c r="C134" s="8" t="s">
        <v>35</v>
      </c>
      <c r="D134" s="8" t="s">
        <v>23</v>
      </c>
      <c r="E134" s="8" t="s">
        <v>19</v>
      </c>
      <c r="F134" s="8" t="s">
        <v>30</v>
      </c>
      <c r="G134" s="8" t="s">
        <v>49</v>
      </c>
      <c r="H134" s="8">
        <v>2020</v>
      </c>
      <c r="I134" s="8" t="s">
        <v>48</v>
      </c>
      <c r="J134" s="10">
        <v>1704</v>
      </c>
    </row>
    <row r="135" spans="1:10" x14ac:dyDescent="0.25">
      <c r="A135" s="6">
        <v>132</v>
      </c>
      <c r="B135" s="7">
        <v>43989</v>
      </c>
      <c r="C135" s="8" t="s">
        <v>22</v>
      </c>
      <c r="D135" s="8" t="s">
        <v>23</v>
      </c>
      <c r="E135" s="8" t="s">
        <v>32</v>
      </c>
      <c r="F135" s="8" t="s">
        <v>26</v>
      </c>
      <c r="G135" s="8" t="s">
        <v>49</v>
      </c>
      <c r="H135" s="8">
        <v>2020</v>
      </c>
      <c r="I135" s="8" t="s">
        <v>48</v>
      </c>
      <c r="J135" s="10">
        <v>7966</v>
      </c>
    </row>
    <row r="136" spans="1:10" x14ac:dyDescent="0.25">
      <c r="A136" s="6">
        <v>133</v>
      </c>
      <c r="B136" s="7">
        <v>43991</v>
      </c>
      <c r="C136" s="8" t="s">
        <v>22</v>
      </c>
      <c r="D136" s="8" t="s">
        <v>23</v>
      </c>
      <c r="E136" s="8" t="s">
        <v>13</v>
      </c>
      <c r="F136" s="8" t="s">
        <v>30</v>
      </c>
      <c r="G136" s="8" t="s">
        <v>49</v>
      </c>
      <c r="H136" s="8">
        <v>2020</v>
      </c>
      <c r="I136" s="8" t="s">
        <v>48</v>
      </c>
      <c r="J136" s="10">
        <v>852</v>
      </c>
    </row>
    <row r="137" spans="1:10" x14ac:dyDescent="0.25">
      <c r="A137" s="6">
        <v>134</v>
      </c>
      <c r="B137" s="7">
        <v>43992</v>
      </c>
      <c r="C137" s="8" t="s">
        <v>28</v>
      </c>
      <c r="D137" s="8" t="s">
        <v>12</v>
      </c>
      <c r="E137" s="8" t="s">
        <v>32</v>
      </c>
      <c r="F137" s="8" t="s">
        <v>30</v>
      </c>
      <c r="G137" s="8" t="s">
        <v>49</v>
      </c>
      <c r="H137" s="8">
        <v>2020</v>
      </c>
      <c r="I137" s="8" t="s">
        <v>48</v>
      </c>
      <c r="J137" s="10">
        <v>8416</v>
      </c>
    </row>
    <row r="138" spans="1:10" x14ac:dyDescent="0.25">
      <c r="A138" s="6">
        <v>135</v>
      </c>
      <c r="B138" s="7">
        <v>43992</v>
      </c>
      <c r="C138" s="8" t="s">
        <v>22</v>
      </c>
      <c r="D138" s="8" t="s">
        <v>23</v>
      </c>
      <c r="E138" s="8" t="s">
        <v>36</v>
      </c>
      <c r="F138" s="8" t="s">
        <v>30</v>
      </c>
      <c r="G138" s="8" t="s">
        <v>49</v>
      </c>
      <c r="H138" s="8">
        <v>2020</v>
      </c>
      <c r="I138" s="8" t="s">
        <v>48</v>
      </c>
      <c r="J138" s="10">
        <v>7144</v>
      </c>
    </row>
    <row r="139" spans="1:10" x14ac:dyDescent="0.25">
      <c r="A139" s="6">
        <v>136</v>
      </c>
      <c r="B139" s="7">
        <v>43995</v>
      </c>
      <c r="C139" s="8" t="s">
        <v>18</v>
      </c>
      <c r="D139" s="8" t="s">
        <v>12</v>
      </c>
      <c r="E139" s="8" t="s">
        <v>13</v>
      </c>
      <c r="F139" s="8" t="s">
        <v>30</v>
      </c>
      <c r="G139" s="8" t="s">
        <v>49</v>
      </c>
      <c r="H139" s="8">
        <v>2020</v>
      </c>
      <c r="I139" s="8" t="s">
        <v>48</v>
      </c>
      <c r="J139" s="10">
        <v>7854</v>
      </c>
    </row>
    <row r="140" spans="1:10" x14ac:dyDescent="0.25">
      <c r="A140" s="6">
        <v>137</v>
      </c>
      <c r="B140" s="7">
        <v>43998</v>
      </c>
      <c r="C140" s="8" t="s">
        <v>31</v>
      </c>
      <c r="D140" s="8" t="s">
        <v>23</v>
      </c>
      <c r="E140" s="8" t="s">
        <v>13</v>
      </c>
      <c r="F140" s="8" t="s">
        <v>30</v>
      </c>
      <c r="G140" s="8" t="s">
        <v>49</v>
      </c>
      <c r="H140" s="8">
        <v>2020</v>
      </c>
      <c r="I140" s="8" t="s">
        <v>48</v>
      </c>
      <c r="J140" s="10">
        <v>859</v>
      </c>
    </row>
    <row r="141" spans="1:10" x14ac:dyDescent="0.25">
      <c r="A141" s="6">
        <v>138</v>
      </c>
      <c r="B141" s="7">
        <v>44001</v>
      </c>
      <c r="C141" s="8" t="s">
        <v>18</v>
      </c>
      <c r="D141" s="8" t="s">
        <v>12</v>
      </c>
      <c r="E141" s="8" t="s">
        <v>13</v>
      </c>
      <c r="F141" s="8" t="s">
        <v>14</v>
      </c>
      <c r="G141" s="8" t="s">
        <v>49</v>
      </c>
      <c r="H141" s="8">
        <v>2020</v>
      </c>
      <c r="I141" s="8" t="s">
        <v>48</v>
      </c>
      <c r="J141" s="10">
        <v>8049</v>
      </c>
    </row>
    <row r="142" spans="1:10" x14ac:dyDescent="0.25">
      <c r="A142" s="6">
        <v>139</v>
      </c>
      <c r="B142" s="7">
        <v>44001</v>
      </c>
      <c r="C142" s="8" t="s">
        <v>22</v>
      </c>
      <c r="D142" s="8" t="s">
        <v>23</v>
      </c>
      <c r="E142" s="8" t="s">
        <v>29</v>
      </c>
      <c r="F142" s="8" t="s">
        <v>30</v>
      </c>
      <c r="G142" s="8" t="s">
        <v>49</v>
      </c>
      <c r="H142" s="8">
        <v>2020</v>
      </c>
      <c r="I142" s="8" t="s">
        <v>48</v>
      </c>
      <c r="J142" s="10">
        <v>2836</v>
      </c>
    </row>
    <row r="143" spans="1:10" x14ac:dyDescent="0.25">
      <c r="A143" s="6">
        <v>140</v>
      </c>
      <c r="B143" s="7">
        <v>44001</v>
      </c>
      <c r="C143" s="8" t="s">
        <v>11</v>
      </c>
      <c r="D143" s="8" t="s">
        <v>12</v>
      </c>
      <c r="E143" s="8" t="s">
        <v>13</v>
      </c>
      <c r="F143" s="8" t="s">
        <v>30</v>
      </c>
      <c r="G143" s="8" t="s">
        <v>49</v>
      </c>
      <c r="H143" s="8">
        <v>2020</v>
      </c>
      <c r="I143" s="8" t="s">
        <v>48</v>
      </c>
      <c r="J143" s="10">
        <v>1743</v>
      </c>
    </row>
    <row r="144" spans="1:10" x14ac:dyDescent="0.25">
      <c r="A144" s="6">
        <v>141</v>
      </c>
      <c r="B144" s="7">
        <v>44002</v>
      </c>
      <c r="C144" s="8" t="s">
        <v>35</v>
      </c>
      <c r="D144" s="8" t="s">
        <v>23</v>
      </c>
      <c r="E144" s="8" t="s">
        <v>36</v>
      </c>
      <c r="F144" s="8" t="s">
        <v>26</v>
      </c>
      <c r="G144" s="8" t="s">
        <v>49</v>
      </c>
      <c r="H144" s="8">
        <v>2020</v>
      </c>
      <c r="I144" s="8" t="s">
        <v>48</v>
      </c>
      <c r="J144" s="10">
        <v>3844</v>
      </c>
    </row>
    <row r="145" spans="1:10" x14ac:dyDescent="0.25">
      <c r="A145" s="6">
        <v>142</v>
      </c>
      <c r="B145" s="7">
        <v>44008</v>
      </c>
      <c r="C145" s="8" t="s">
        <v>35</v>
      </c>
      <c r="D145" s="8" t="s">
        <v>23</v>
      </c>
      <c r="E145" s="8" t="s">
        <v>36</v>
      </c>
      <c r="F145" s="8" t="s">
        <v>26</v>
      </c>
      <c r="G145" s="8" t="s">
        <v>49</v>
      </c>
      <c r="H145" s="8">
        <v>2020</v>
      </c>
      <c r="I145" s="8" t="s">
        <v>48</v>
      </c>
      <c r="J145" s="10">
        <v>7490</v>
      </c>
    </row>
    <row r="146" spans="1:10" x14ac:dyDescent="0.25">
      <c r="A146" s="6">
        <v>143</v>
      </c>
      <c r="B146" s="7">
        <v>44010</v>
      </c>
      <c r="C146" s="8" t="s">
        <v>18</v>
      </c>
      <c r="D146" s="8" t="s">
        <v>12</v>
      </c>
      <c r="E146" s="8" t="s">
        <v>29</v>
      </c>
      <c r="F146" s="8" t="s">
        <v>26</v>
      </c>
      <c r="G146" s="8" t="s">
        <v>49</v>
      </c>
      <c r="H146" s="8">
        <v>2020</v>
      </c>
      <c r="I146" s="8" t="s">
        <v>48</v>
      </c>
      <c r="J146" s="10">
        <v>4483</v>
      </c>
    </row>
    <row r="147" spans="1:10" x14ac:dyDescent="0.25">
      <c r="A147" s="6">
        <v>144</v>
      </c>
      <c r="B147" s="7">
        <v>44014</v>
      </c>
      <c r="C147" s="8" t="s">
        <v>35</v>
      </c>
      <c r="D147" s="8" t="s">
        <v>23</v>
      </c>
      <c r="E147" s="8" t="s">
        <v>25</v>
      </c>
      <c r="F147" s="8" t="s">
        <v>26</v>
      </c>
      <c r="G147" s="8" t="s">
        <v>15</v>
      </c>
      <c r="H147" s="8">
        <v>2020</v>
      </c>
      <c r="I147" s="8" t="s">
        <v>16</v>
      </c>
      <c r="J147" s="10">
        <v>7333</v>
      </c>
    </row>
    <row r="148" spans="1:10" x14ac:dyDescent="0.25">
      <c r="A148" s="6">
        <v>145</v>
      </c>
      <c r="B148" s="7">
        <v>44014</v>
      </c>
      <c r="C148" s="8" t="s">
        <v>11</v>
      </c>
      <c r="D148" s="8" t="s">
        <v>12</v>
      </c>
      <c r="E148" s="8" t="s">
        <v>13</v>
      </c>
      <c r="F148" s="8" t="s">
        <v>26</v>
      </c>
      <c r="G148" s="8" t="s">
        <v>15</v>
      </c>
      <c r="H148" s="8">
        <v>2020</v>
      </c>
      <c r="I148" s="8" t="s">
        <v>16</v>
      </c>
      <c r="J148" s="10">
        <v>7654</v>
      </c>
    </row>
    <row r="149" spans="1:10" x14ac:dyDescent="0.25">
      <c r="A149" s="6">
        <v>146</v>
      </c>
      <c r="B149" s="7">
        <v>44019</v>
      </c>
      <c r="C149" s="8" t="s">
        <v>35</v>
      </c>
      <c r="D149" s="8" t="s">
        <v>23</v>
      </c>
      <c r="E149" s="8" t="s">
        <v>19</v>
      </c>
      <c r="F149" s="8" t="s">
        <v>26</v>
      </c>
      <c r="G149" s="8" t="s">
        <v>15</v>
      </c>
      <c r="H149" s="8">
        <v>2020</v>
      </c>
      <c r="I149" s="8" t="s">
        <v>16</v>
      </c>
      <c r="J149" s="10">
        <v>3944</v>
      </c>
    </row>
    <row r="150" spans="1:10" x14ac:dyDescent="0.25">
      <c r="A150" s="6">
        <v>147</v>
      </c>
      <c r="B150" s="7">
        <v>44020</v>
      </c>
      <c r="C150" s="8" t="s">
        <v>28</v>
      </c>
      <c r="D150" s="8" t="s">
        <v>12</v>
      </c>
      <c r="E150" s="8" t="s">
        <v>29</v>
      </c>
      <c r="F150" s="8" t="s">
        <v>26</v>
      </c>
      <c r="G150" s="8" t="s">
        <v>15</v>
      </c>
      <c r="H150" s="8">
        <v>2020</v>
      </c>
      <c r="I150" s="8" t="s">
        <v>16</v>
      </c>
      <c r="J150" s="10">
        <v>5761</v>
      </c>
    </row>
    <row r="151" spans="1:10" x14ac:dyDescent="0.25">
      <c r="A151" s="6">
        <v>148</v>
      </c>
      <c r="B151" s="7">
        <v>44021</v>
      </c>
      <c r="C151" s="8" t="s">
        <v>22</v>
      </c>
      <c r="D151" s="8" t="s">
        <v>23</v>
      </c>
      <c r="E151" s="8" t="s">
        <v>33</v>
      </c>
      <c r="F151" s="8" t="s">
        <v>14</v>
      </c>
      <c r="G151" s="8" t="s">
        <v>15</v>
      </c>
      <c r="H151" s="8">
        <v>2020</v>
      </c>
      <c r="I151" s="8" t="s">
        <v>16</v>
      </c>
      <c r="J151" s="10">
        <v>6864</v>
      </c>
    </row>
    <row r="152" spans="1:10" x14ac:dyDescent="0.25">
      <c r="A152" s="6">
        <v>149</v>
      </c>
      <c r="B152" s="7">
        <v>44022</v>
      </c>
      <c r="C152" s="8" t="s">
        <v>22</v>
      </c>
      <c r="D152" s="8" t="s">
        <v>23</v>
      </c>
      <c r="E152" s="8" t="s">
        <v>29</v>
      </c>
      <c r="F152" s="8" t="s">
        <v>26</v>
      </c>
      <c r="G152" s="8" t="s">
        <v>15</v>
      </c>
      <c r="H152" s="8">
        <v>2020</v>
      </c>
      <c r="I152" s="8" t="s">
        <v>16</v>
      </c>
      <c r="J152" s="10">
        <v>4016</v>
      </c>
    </row>
    <row r="153" spans="1:10" x14ac:dyDescent="0.25">
      <c r="A153" s="6">
        <v>150</v>
      </c>
      <c r="B153" s="7">
        <v>44031</v>
      </c>
      <c r="C153" s="8" t="s">
        <v>22</v>
      </c>
      <c r="D153" s="8" t="s">
        <v>23</v>
      </c>
      <c r="E153" s="8" t="s">
        <v>13</v>
      </c>
      <c r="F153" s="8" t="s">
        <v>26</v>
      </c>
      <c r="G153" s="8" t="s">
        <v>15</v>
      </c>
      <c r="H153" s="8">
        <v>2020</v>
      </c>
      <c r="I153" s="8" t="s">
        <v>16</v>
      </c>
      <c r="J153" s="10">
        <v>1841</v>
      </c>
    </row>
    <row r="154" spans="1:10" x14ac:dyDescent="0.25">
      <c r="A154" s="6">
        <v>151</v>
      </c>
      <c r="B154" s="7">
        <v>44032</v>
      </c>
      <c r="C154" s="8" t="s">
        <v>22</v>
      </c>
      <c r="D154" s="8" t="s">
        <v>23</v>
      </c>
      <c r="E154" s="8" t="s">
        <v>32</v>
      </c>
      <c r="F154" s="8" t="s">
        <v>26</v>
      </c>
      <c r="G154" s="8" t="s">
        <v>15</v>
      </c>
      <c r="H154" s="8">
        <v>2020</v>
      </c>
      <c r="I154" s="8" t="s">
        <v>16</v>
      </c>
      <c r="J154" s="10">
        <v>424</v>
      </c>
    </row>
    <row r="155" spans="1:10" x14ac:dyDescent="0.25">
      <c r="A155" s="6">
        <v>152</v>
      </c>
      <c r="B155" s="7">
        <v>44034</v>
      </c>
      <c r="C155" s="8" t="s">
        <v>22</v>
      </c>
      <c r="D155" s="8" t="s">
        <v>23</v>
      </c>
      <c r="E155" s="8" t="s">
        <v>19</v>
      </c>
      <c r="F155" s="8" t="s">
        <v>26</v>
      </c>
      <c r="G155" s="8" t="s">
        <v>15</v>
      </c>
      <c r="H155" s="8">
        <v>2020</v>
      </c>
      <c r="I155" s="8" t="s">
        <v>16</v>
      </c>
      <c r="J155" s="10">
        <v>8765</v>
      </c>
    </row>
    <row r="156" spans="1:10" x14ac:dyDescent="0.25">
      <c r="A156" s="6">
        <v>153</v>
      </c>
      <c r="B156" s="7">
        <v>44035</v>
      </c>
      <c r="C156" s="8" t="s">
        <v>22</v>
      </c>
      <c r="D156" s="8" t="s">
        <v>23</v>
      </c>
      <c r="E156" s="8" t="s">
        <v>13</v>
      </c>
      <c r="F156" s="8" t="s">
        <v>14</v>
      </c>
      <c r="G156" s="8" t="s">
        <v>15</v>
      </c>
      <c r="H156" s="8">
        <v>2020</v>
      </c>
      <c r="I156" s="8" t="s">
        <v>16</v>
      </c>
      <c r="J156" s="10">
        <v>5583</v>
      </c>
    </row>
    <row r="157" spans="1:10" x14ac:dyDescent="0.25">
      <c r="A157" s="6">
        <v>154</v>
      </c>
      <c r="B157" s="7">
        <v>44041</v>
      </c>
      <c r="C157" s="8" t="s">
        <v>18</v>
      </c>
      <c r="D157" s="8" t="s">
        <v>12</v>
      </c>
      <c r="E157" s="8" t="s">
        <v>33</v>
      </c>
      <c r="F157" s="8" t="s">
        <v>26</v>
      </c>
      <c r="G157" s="8" t="s">
        <v>15</v>
      </c>
      <c r="H157" s="8">
        <v>2020</v>
      </c>
      <c r="I157" s="8" t="s">
        <v>16</v>
      </c>
      <c r="J157" s="10">
        <v>4390</v>
      </c>
    </row>
    <row r="158" spans="1:10" x14ac:dyDescent="0.25">
      <c r="A158" s="6">
        <v>155</v>
      </c>
      <c r="B158" s="7">
        <v>44044</v>
      </c>
      <c r="C158" s="8" t="s">
        <v>18</v>
      </c>
      <c r="D158" s="8" t="s">
        <v>12</v>
      </c>
      <c r="E158" s="8" t="s">
        <v>25</v>
      </c>
      <c r="F158" s="8" t="s">
        <v>14</v>
      </c>
      <c r="G158" s="8" t="s">
        <v>27</v>
      </c>
      <c r="H158" s="8">
        <v>2020</v>
      </c>
      <c r="I158" s="8" t="s">
        <v>16</v>
      </c>
      <c r="J158" s="10">
        <v>352</v>
      </c>
    </row>
    <row r="159" spans="1:10" x14ac:dyDescent="0.25">
      <c r="A159" s="6">
        <v>156</v>
      </c>
      <c r="B159" s="7">
        <v>44045</v>
      </c>
      <c r="C159" s="8" t="s">
        <v>35</v>
      </c>
      <c r="D159" s="8" t="s">
        <v>23</v>
      </c>
      <c r="E159" s="8" t="s">
        <v>13</v>
      </c>
      <c r="F159" s="8" t="s">
        <v>14</v>
      </c>
      <c r="G159" s="8" t="s">
        <v>27</v>
      </c>
      <c r="H159" s="8">
        <v>2020</v>
      </c>
      <c r="I159" s="8" t="s">
        <v>16</v>
      </c>
      <c r="J159" s="10">
        <v>8489</v>
      </c>
    </row>
    <row r="160" spans="1:10" x14ac:dyDescent="0.25">
      <c r="A160" s="6">
        <v>157</v>
      </c>
      <c r="B160" s="7">
        <v>44049</v>
      </c>
      <c r="C160" s="8" t="s">
        <v>22</v>
      </c>
      <c r="D160" s="8" t="s">
        <v>23</v>
      </c>
      <c r="E160" s="8" t="s">
        <v>36</v>
      </c>
      <c r="F160" s="8" t="s">
        <v>14</v>
      </c>
      <c r="G160" s="8" t="s">
        <v>27</v>
      </c>
      <c r="H160" s="8">
        <v>2020</v>
      </c>
      <c r="I160" s="8" t="s">
        <v>16</v>
      </c>
      <c r="J160" s="10">
        <v>7090</v>
      </c>
    </row>
    <row r="161" spans="1:10" x14ac:dyDescent="0.25">
      <c r="A161" s="6">
        <v>158</v>
      </c>
      <c r="B161" s="7">
        <v>44050</v>
      </c>
      <c r="C161" s="8" t="s">
        <v>22</v>
      </c>
      <c r="D161" s="8" t="s">
        <v>23</v>
      </c>
      <c r="E161" s="8" t="s">
        <v>13</v>
      </c>
      <c r="F161" s="8" t="s">
        <v>14</v>
      </c>
      <c r="G161" s="8" t="s">
        <v>27</v>
      </c>
      <c r="H161" s="8">
        <v>2020</v>
      </c>
      <c r="I161" s="8" t="s">
        <v>16</v>
      </c>
      <c r="J161" s="10">
        <v>7880</v>
      </c>
    </row>
    <row r="162" spans="1:10" x14ac:dyDescent="0.25">
      <c r="A162" s="6">
        <v>159</v>
      </c>
      <c r="B162" s="7">
        <v>44052</v>
      </c>
      <c r="C162" s="8" t="s">
        <v>31</v>
      </c>
      <c r="D162" s="8" t="s">
        <v>23</v>
      </c>
      <c r="E162" s="8" t="s">
        <v>13</v>
      </c>
      <c r="F162" s="8" t="s">
        <v>26</v>
      </c>
      <c r="G162" s="8" t="s">
        <v>27</v>
      </c>
      <c r="H162" s="8">
        <v>2020</v>
      </c>
      <c r="I162" s="8" t="s">
        <v>16</v>
      </c>
      <c r="J162" s="10">
        <v>3861</v>
      </c>
    </row>
    <row r="163" spans="1:10" x14ac:dyDescent="0.25">
      <c r="A163" s="6">
        <v>160</v>
      </c>
      <c r="B163" s="7">
        <v>44052</v>
      </c>
      <c r="C163" s="8" t="s">
        <v>18</v>
      </c>
      <c r="D163" s="8" t="s">
        <v>12</v>
      </c>
      <c r="E163" s="8" t="s">
        <v>29</v>
      </c>
      <c r="F163" s="8" t="s">
        <v>14</v>
      </c>
      <c r="G163" s="8" t="s">
        <v>27</v>
      </c>
      <c r="H163" s="8">
        <v>2020</v>
      </c>
      <c r="I163" s="8" t="s">
        <v>16</v>
      </c>
      <c r="J163" s="10">
        <v>7927</v>
      </c>
    </row>
    <row r="164" spans="1:10" x14ac:dyDescent="0.25">
      <c r="A164" s="6">
        <v>161</v>
      </c>
      <c r="B164" s="7">
        <v>44053</v>
      </c>
      <c r="C164" s="8" t="s">
        <v>22</v>
      </c>
      <c r="D164" s="8" t="s">
        <v>23</v>
      </c>
      <c r="E164" s="8" t="s">
        <v>13</v>
      </c>
      <c r="F164" s="8" t="s">
        <v>14</v>
      </c>
      <c r="G164" s="8" t="s">
        <v>27</v>
      </c>
      <c r="H164" s="8">
        <v>2020</v>
      </c>
      <c r="I164" s="8" t="s">
        <v>16</v>
      </c>
      <c r="J164" s="10">
        <v>6162</v>
      </c>
    </row>
    <row r="165" spans="1:10" x14ac:dyDescent="0.25">
      <c r="A165" s="6">
        <v>162</v>
      </c>
      <c r="B165" s="7">
        <v>44054</v>
      </c>
      <c r="C165" s="8" t="s">
        <v>43</v>
      </c>
      <c r="D165" s="8" t="s">
        <v>23</v>
      </c>
      <c r="E165" s="8" t="s">
        <v>32</v>
      </c>
      <c r="F165" s="8" t="s">
        <v>14</v>
      </c>
      <c r="G165" s="8" t="s">
        <v>27</v>
      </c>
      <c r="H165" s="8">
        <v>2020</v>
      </c>
      <c r="I165" s="8" t="s">
        <v>16</v>
      </c>
      <c r="J165" s="10">
        <v>5523</v>
      </c>
    </row>
    <row r="166" spans="1:10" x14ac:dyDescent="0.25">
      <c r="A166" s="6">
        <v>163</v>
      </c>
      <c r="B166" s="7">
        <v>44058</v>
      </c>
      <c r="C166" s="8" t="s">
        <v>18</v>
      </c>
      <c r="D166" s="8" t="s">
        <v>12</v>
      </c>
      <c r="E166" s="8" t="s">
        <v>19</v>
      </c>
      <c r="F166" s="8" t="s">
        <v>14</v>
      </c>
      <c r="G166" s="8" t="s">
        <v>27</v>
      </c>
      <c r="H166" s="8">
        <v>2020</v>
      </c>
      <c r="I166" s="8" t="s">
        <v>16</v>
      </c>
      <c r="J166" s="10">
        <v>5936</v>
      </c>
    </row>
    <row r="167" spans="1:10" x14ac:dyDescent="0.25">
      <c r="A167" s="6">
        <v>164</v>
      </c>
      <c r="B167" s="7">
        <v>44058</v>
      </c>
      <c r="C167" s="8" t="s">
        <v>11</v>
      </c>
      <c r="D167" s="8" t="s">
        <v>12</v>
      </c>
      <c r="E167" s="8" t="s">
        <v>29</v>
      </c>
      <c r="F167" s="8" t="s">
        <v>14</v>
      </c>
      <c r="G167" s="8" t="s">
        <v>27</v>
      </c>
      <c r="H167" s="8">
        <v>2020</v>
      </c>
      <c r="I167" s="8" t="s">
        <v>16</v>
      </c>
      <c r="J167" s="10">
        <v>7251</v>
      </c>
    </row>
    <row r="168" spans="1:10" x14ac:dyDescent="0.25">
      <c r="A168" s="6">
        <v>165</v>
      </c>
      <c r="B168" s="7">
        <v>44059</v>
      </c>
      <c r="C168" s="8" t="s">
        <v>31</v>
      </c>
      <c r="D168" s="8" t="s">
        <v>23</v>
      </c>
      <c r="E168" s="8" t="s">
        <v>32</v>
      </c>
      <c r="F168" s="8" t="s">
        <v>14</v>
      </c>
      <c r="G168" s="8" t="s">
        <v>27</v>
      </c>
      <c r="H168" s="8">
        <v>2020</v>
      </c>
      <c r="I168" s="8" t="s">
        <v>16</v>
      </c>
      <c r="J168" s="10">
        <v>6187</v>
      </c>
    </row>
    <row r="169" spans="1:10" x14ac:dyDescent="0.25">
      <c r="A169" s="6">
        <v>166</v>
      </c>
      <c r="B169" s="7">
        <v>44060</v>
      </c>
      <c r="C169" s="8" t="s">
        <v>22</v>
      </c>
      <c r="D169" s="8" t="s">
        <v>23</v>
      </c>
      <c r="E169" s="8" t="s">
        <v>29</v>
      </c>
      <c r="F169" s="8" t="s">
        <v>20</v>
      </c>
      <c r="G169" s="8" t="s">
        <v>27</v>
      </c>
      <c r="H169" s="8">
        <v>2020</v>
      </c>
      <c r="I169" s="8" t="s">
        <v>16</v>
      </c>
      <c r="J169" s="10">
        <v>3210</v>
      </c>
    </row>
    <row r="170" spans="1:10" x14ac:dyDescent="0.25">
      <c r="A170" s="6">
        <v>167</v>
      </c>
      <c r="B170" s="7">
        <v>44064</v>
      </c>
      <c r="C170" s="8" t="s">
        <v>11</v>
      </c>
      <c r="D170" s="8" t="s">
        <v>12</v>
      </c>
      <c r="E170" s="8" t="s">
        <v>29</v>
      </c>
      <c r="F170" s="8" t="s">
        <v>20</v>
      </c>
      <c r="G170" s="8" t="s">
        <v>27</v>
      </c>
      <c r="H170" s="8">
        <v>2020</v>
      </c>
      <c r="I170" s="8" t="s">
        <v>16</v>
      </c>
      <c r="J170" s="10">
        <v>682</v>
      </c>
    </row>
    <row r="171" spans="1:10" x14ac:dyDescent="0.25">
      <c r="A171" s="6">
        <v>168</v>
      </c>
      <c r="B171" s="7">
        <v>44065</v>
      </c>
      <c r="C171" s="8" t="s">
        <v>22</v>
      </c>
      <c r="D171" s="8" t="s">
        <v>23</v>
      </c>
      <c r="E171" s="8" t="s">
        <v>32</v>
      </c>
      <c r="F171" s="8" t="s">
        <v>20</v>
      </c>
      <c r="G171" s="8" t="s">
        <v>27</v>
      </c>
      <c r="H171" s="8">
        <v>2020</v>
      </c>
      <c r="I171" s="8" t="s">
        <v>16</v>
      </c>
      <c r="J171" s="10">
        <v>793</v>
      </c>
    </row>
    <row r="172" spans="1:10" x14ac:dyDescent="0.25">
      <c r="A172" s="6">
        <v>169</v>
      </c>
      <c r="B172" s="7">
        <v>44067</v>
      </c>
      <c r="C172" s="8" t="s">
        <v>11</v>
      </c>
      <c r="D172" s="8" t="s">
        <v>12</v>
      </c>
      <c r="E172" s="8" t="s">
        <v>29</v>
      </c>
      <c r="F172" s="8" t="s">
        <v>20</v>
      </c>
      <c r="G172" s="8" t="s">
        <v>27</v>
      </c>
      <c r="H172" s="8">
        <v>2020</v>
      </c>
      <c r="I172" s="8" t="s">
        <v>16</v>
      </c>
      <c r="J172" s="10">
        <v>5346</v>
      </c>
    </row>
    <row r="173" spans="1:10" x14ac:dyDescent="0.25">
      <c r="A173" s="6">
        <v>170</v>
      </c>
      <c r="B173" s="7">
        <v>44070</v>
      </c>
      <c r="C173" s="8" t="s">
        <v>22</v>
      </c>
      <c r="D173" s="8" t="s">
        <v>23</v>
      </c>
      <c r="E173" s="8" t="s">
        <v>33</v>
      </c>
      <c r="F173" s="8" t="s">
        <v>20</v>
      </c>
      <c r="G173" s="8" t="s">
        <v>27</v>
      </c>
      <c r="H173" s="8">
        <v>2020</v>
      </c>
      <c r="I173" s="8" t="s">
        <v>16</v>
      </c>
      <c r="J173" s="10">
        <v>7103</v>
      </c>
    </row>
    <row r="174" spans="1:10" x14ac:dyDescent="0.25">
      <c r="A174" s="6">
        <v>171</v>
      </c>
      <c r="B174" s="7">
        <v>44073</v>
      </c>
      <c r="C174" s="8" t="s">
        <v>11</v>
      </c>
      <c r="D174" s="8" t="s">
        <v>12</v>
      </c>
      <c r="E174" s="8" t="s">
        <v>13</v>
      </c>
      <c r="F174" s="8" t="s">
        <v>20</v>
      </c>
      <c r="G174" s="8" t="s">
        <v>27</v>
      </c>
      <c r="H174" s="8">
        <v>2020</v>
      </c>
      <c r="I174" s="8" t="s">
        <v>16</v>
      </c>
      <c r="J174" s="10">
        <v>4603</v>
      </c>
    </row>
    <row r="175" spans="1:10" x14ac:dyDescent="0.25">
      <c r="A175" s="6">
        <v>172</v>
      </c>
      <c r="B175" s="7">
        <v>44075</v>
      </c>
      <c r="C175" s="8" t="s">
        <v>35</v>
      </c>
      <c r="D175" s="8" t="s">
        <v>23</v>
      </c>
      <c r="E175" s="8" t="s">
        <v>36</v>
      </c>
      <c r="F175" s="8" t="s">
        <v>20</v>
      </c>
      <c r="G175" s="8" t="s">
        <v>34</v>
      </c>
      <c r="H175" s="8">
        <v>2020</v>
      </c>
      <c r="I175" s="8" t="s">
        <v>16</v>
      </c>
      <c r="J175" s="10">
        <v>8160</v>
      </c>
    </row>
    <row r="176" spans="1:10" x14ac:dyDescent="0.25">
      <c r="A176" s="6">
        <v>173</v>
      </c>
      <c r="B176" s="7">
        <v>44076</v>
      </c>
      <c r="C176" s="8" t="s">
        <v>35</v>
      </c>
      <c r="D176" s="8" t="s">
        <v>23</v>
      </c>
      <c r="E176" s="8" t="s">
        <v>19</v>
      </c>
      <c r="F176" s="8" t="s">
        <v>20</v>
      </c>
      <c r="G176" s="8" t="s">
        <v>34</v>
      </c>
      <c r="H176" s="8">
        <v>2020</v>
      </c>
      <c r="I176" s="8" t="s">
        <v>16</v>
      </c>
      <c r="J176" s="10">
        <v>7171</v>
      </c>
    </row>
    <row r="177" spans="1:10" x14ac:dyDescent="0.25">
      <c r="A177" s="6">
        <v>174</v>
      </c>
      <c r="B177" s="7">
        <v>44077</v>
      </c>
      <c r="C177" s="8" t="s">
        <v>22</v>
      </c>
      <c r="D177" s="8" t="s">
        <v>23</v>
      </c>
      <c r="E177" s="8" t="s">
        <v>33</v>
      </c>
      <c r="F177" s="8" t="s">
        <v>14</v>
      </c>
      <c r="G177" s="8" t="s">
        <v>34</v>
      </c>
      <c r="H177" s="8">
        <v>2020</v>
      </c>
      <c r="I177" s="8" t="s">
        <v>16</v>
      </c>
      <c r="J177" s="10">
        <v>3552</v>
      </c>
    </row>
    <row r="178" spans="1:10" x14ac:dyDescent="0.25">
      <c r="A178" s="6">
        <v>175</v>
      </c>
      <c r="B178" s="7">
        <v>44080</v>
      </c>
      <c r="C178" s="8" t="s">
        <v>22</v>
      </c>
      <c r="D178" s="8" t="s">
        <v>23</v>
      </c>
      <c r="E178" s="8" t="s">
        <v>32</v>
      </c>
      <c r="F178" s="8" t="s">
        <v>20</v>
      </c>
      <c r="G178" s="8" t="s">
        <v>34</v>
      </c>
      <c r="H178" s="8">
        <v>2020</v>
      </c>
      <c r="I178" s="8" t="s">
        <v>16</v>
      </c>
      <c r="J178" s="10">
        <v>7273</v>
      </c>
    </row>
    <row r="179" spans="1:10" x14ac:dyDescent="0.25">
      <c r="A179" s="6">
        <v>176</v>
      </c>
      <c r="B179" s="7">
        <v>44082</v>
      </c>
      <c r="C179" s="8" t="s">
        <v>22</v>
      </c>
      <c r="D179" s="8" t="s">
        <v>23</v>
      </c>
      <c r="E179" s="8" t="s">
        <v>29</v>
      </c>
      <c r="F179" s="8" t="s">
        <v>20</v>
      </c>
      <c r="G179" s="8" t="s">
        <v>34</v>
      </c>
      <c r="H179" s="8">
        <v>2020</v>
      </c>
      <c r="I179" s="8" t="s">
        <v>16</v>
      </c>
      <c r="J179" s="10">
        <v>2402</v>
      </c>
    </row>
    <row r="180" spans="1:10" x14ac:dyDescent="0.25">
      <c r="A180" s="6">
        <v>177</v>
      </c>
      <c r="B180" s="7">
        <v>44082</v>
      </c>
      <c r="C180" s="8" t="s">
        <v>22</v>
      </c>
      <c r="D180" s="8" t="s">
        <v>23</v>
      </c>
      <c r="E180" s="8" t="s">
        <v>32</v>
      </c>
      <c r="F180" s="8" t="s">
        <v>26</v>
      </c>
      <c r="G180" s="8" t="s">
        <v>34</v>
      </c>
      <c r="H180" s="8">
        <v>2020</v>
      </c>
      <c r="I180" s="8" t="s">
        <v>16</v>
      </c>
      <c r="J180" s="10">
        <v>1197</v>
      </c>
    </row>
    <row r="181" spans="1:10" x14ac:dyDescent="0.25">
      <c r="A181" s="6">
        <v>178</v>
      </c>
      <c r="B181" s="7">
        <v>44083</v>
      </c>
      <c r="C181" s="8" t="s">
        <v>28</v>
      </c>
      <c r="D181" s="8" t="s">
        <v>12</v>
      </c>
      <c r="E181" s="8" t="s">
        <v>32</v>
      </c>
      <c r="F181" s="8" t="s">
        <v>26</v>
      </c>
      <c r="G181" s="8" t="s">
        <v>34</v>
      </c>
      <c r="H181" s="8">
        <v>2020</v>
      </c>
      <c r="I181" s="8" t="s">
        <v>16</v>
      </c>
      <c r="J181" s="10">
        <v>5015</v>
      </c>
    </row>
    <row r="182" spans="1:10" x14ac:dyDescent="0.25">
      <c r="A182" s="6">
        <v>179</v>
      </c>
      <c r="B182" s="7">
        <v>44083</v>
      </c>
      <c r="C182" s="8" t="s">
        <v>31</v>
      </c>
      <c r="D182" s="8" t="s">
        <v>23</v>
      </c>
      <c r="E182" s="8" t="s">
        <v>13</v>
      </c>
      <c r="F182" s="8" t="s">
        <v>26</v>
      </c>
      <c r="G182" s="8" t="s">
        <v>34</v>
      </c>
      <c r="H182" s="8">
        <v>2020</v>
      </c>
      <c r="I182" s="8" t="s">
        <v>16</v>
      </c>
      <c r="J182" s="10">
        <v>5818</v>
      </c>
    </row>
    <row r="183" spans="1:10" x14ac:dyDescent="0.25">
      <c r="A183" s="6">
        <v>180</v>
      </c>
      <c r="B183" s="7">
        <v>44083</v>
      </c>
      <c r="C183" s="8" t="s">
        <v>22</v>
      </c>
      <c r="D183" s="8" t="s">
        <v>23</v>
      </c>
      <c r="E183" s="8" t="s">
        <v>19</v>
      </c>
      <c r="F183" s="8" t="s">
        <v>26</v>
      </c>
      <c r="G183" s="8" t="s">
        <v>34</v>
      </c>
      <c r="H183" s="8">
        <v>2020</v>
      </c>
      <c r="I183" s="8" t="s">
        <v>16</v>
      </c>
      <c r="J183" s="10">
        <v>4399</v>
      </c>
    </row>
    <row r="184" spans="1:10" x14ac:dyDescent="0.25">
      <c r="A184" s="6">
        <v>181</v>
      </c>
      <c r="B184" s="7">
        <v>44083</v>
      </c>
      <c r="C184" s="8" t="s">
        <v>11</v>
      </c>
      <c r="D184" s="8" t="s">
        <v>12</v>
      </c>
      <c r="E184" s="8" t="s">
        <v>13</v>
      </c>
      <c r="F184" s="8" t="s">
        <v>26</v>
      </c>
      <c r="G184" s="8" t="s">
        <v>34</v>
      </c>
      <c r="H184" s="8">
        <v>2020</v>
      </c>
      <c r="I184" s="8" t="s">
        <v>16</v>
      </c>
      <c r="J184" s="10">
        <v>3011</v>
      </c>
    </row>
    <row r="185" spans="1:10" x14ac:dyDescent="0.25">
      <c r="A185" s="6">
        <v>182</v>
      </c>
      <c r="B185" s="7">
        <v>44083</v>
      </c>
      <c r="C185" s="8" t="s">
        <v>35</v>
      </c>
      <c r="D185" s="8" t="s">
        <v>23</v>
      </c>
      <c r="E185" s="8" t="s">
        <v>19</v>
      </c>
      <c r="F185" s="8" t="s">
        <v>26</v>
      </c>
      <c r="G185" s="8" t="s">
        <v>34</v>
      </c>
      <c r="H185" s="8">
        <v>2020</v>
      </c>
      <c r="I185" s="8" t="s">
        <v>16</v>
      </c>
      <c r="J185" s="10">
        <v>4715</v>
      </c>
    </row>
    <row r="186" spans="1:10" x14ac:dyDescent="0.25">
      <c r="A186" s="6">
        <v>183</v>
      </c>
      <c r="B186" s="7">
        <v>44085</v>
      </c>
      <c r="C186" s="8" t="s">
        <v>35</v>
      </c>
      <c r="D186" s="8" t="s">
        <v>23</v>
      </c>
      <c r="E186" s="8" t="s">
        <v>36</v>
      </c>
      <c r="F186" s="8" t="s">
        <v>26</v>
      </c>
      <c r="G186" s="8" t="s">
        <v>34</v>
      </c>
      <c r="H186" s="8">
        <v>2020</v>
      </c>
      <c r="I186" s="8" t="s">
        <v>16</v>
      </c>
      <c r="J186" s="10">
        <v>5321</v>
      </c>
    </row>
    <row r="187" spans="1:10" x14ac:dyDescent="0.25">
      <c r="A187" s="6">
        <v>184</v>
      </c>
      <c r="B187" s="7">
        <v>44089</v>
      </c>
      <c r="C187" s="8" t="s">
        <v>22</v>
      </c>
      <c r="D187" s="8" t="s">
        <v>23</v>
      </c>
      <c r="E187" s="8" t="s">
        <v>13</v>
      </c>
      <c r="F187" s="8" t="s">
        <v>26</v>
      </c>
      <c r="G187" s="8" t="s">
        <v>34</v>
      </c>
      <c r="H187" s="8">
        <v>2020</v>
      </c>
      <c r="I187" s="8" t="s">
        <v>16</v>
      </c>
      <c r="J187" s="10">
        <v>8894</v>
      </c>
    </row>
    <row r="188" spans="1:10" x14ac:dyDescent="0.25">
      <c r="A188" s="6">
        <v>185</v>
      </c>
      <c r="B188" s="7">
        <v>44090</v>
      </c>
      <c r="C188" s="8" t="s">
        <v>11</v>
      </c>
      <c r="D188" s="8" t="s">
        <v>12</v>
      </c>
      <c r="E188" s="8" t="s">
        <v>19</v>
      </c>
      <c r="F188" s="8" t="s">
        <v>14</v>
      </c>
      <c r="G188" s="8" t="s">
        <v>34</v>
      </c>
      <c r="H188" s="8">
        <v>2020</v>
      </c>
      <c r="I188" s="8" t="s">
        <v>16</v>
      </c>
      <c r="J188" s="10">
        <v>4846</v>
      </c>
    </row>
    <row r="189" spans="1:10" x14ac:dyDescent="0.25">
      <c r="A189" s="6">
        <v>186</v>
      </c>
      <c r="B189" s="7">
        <v>44090</v>
      </c>
      <c r="C189" s="8" t="s">
        <v>18</v>
      </c>
      <c r="D189" s="8" t="s">
        <v>12</v>
      </c>
      <c r="E189" s="8" t="s">
        <v>29</v>
      </c>
      <c r="F189" s="8" t="s">
        <v>20</v>
      </c>
      <c r="G189" s="8" t="s">
        <v>34</v>
      </c>
      <c r="H189" s="8">
        <v>2020</v>
      </c>
      <c r="I189" s="8" t="s">
        <v>16</v>
      </c>
      <c r="J189" s="10">
        <v>284</v>
      </c>
    </row>
    <row r="190" spans="1:10" x14ac:dyDescent="0.25">
      <c r="A190" s="6">
        <v>187</v>
      </c>
      <c r="B190" s="7">
        <v>44092</v>
      </c>
      <c r="C190" s="8" t="s">
        <v>31</v>
      </c>
      <c r="D190" s="8" t="s">
        <v>23</v>
      </c>
      <c r="E190" s="8" t="s">
        <v>19</v>
      </c>
      <c r="F190" s="8" t="s">
        <v>30</v>
      </c>
      <c r="G190" s="8" t="s">
        <v>34</v>
      </c>
      <c r="H190" s="8">
        <v>2020</v>
      </c>
      <c r="I190" s="8" t="s">
        <v>16</v>
      </c>
      <c r="J190" s="10">
        <v>8283</v>
      </c>
    </row>
    <row r="191" spans="1:10" x14ac:dyDescent="0.25">
      <c r="A191" s="6">
        <v>188</v>
      </c>
      <c r="B191" s="7">
        <v>44094</v>
      </c>
      <c r="C191" s="8" t="s">
        <v>31</v>
      </c>
      <c r="D191" s="8" t="s">
        <v>23</v>
      </c>
      <c r="E191" s="8" t="s">
        <v>25</v>
      </c>
      <c r="F191" s="8" t="s">
        <v>30</v>
      </c>
      <c r="G191" s="8" t="s">
        <v>34</v>
      </c>
      <c r="H191" s="8">
        <v>2020</v>
      </c>
      <c r="I191" s="8" t="s">
        <v>16</v>
      </c>
      <c r="J191" s="10">
        <v>9990</v>
      </c>
    </row>
    <row r="192" spans="1:10" x14ac:dyDescent="0.25">
      <c r="A192" s="6">
        <v>189</v>
      </c>
      <c r="B192" s="7">
        <v>44098</v>
      </c>
      <c r="C192" s="8" t="s">
        <v>22</v>
      </c>
      <c r="D192" s="8" t="s">
        <v>23</v>
      </c>
      <c r="E192" s="8" t="s">
        <v>32</v>
      </c>
      <c r="F192" s="8" t="s">
        <v>30</v>
      </c>
      <c r="G192" s="8" t="s">
        <v>50</v>
      </c>
      <c r="H192" s="8">
        <v>2020</v>
      </c>
      <c r="I192" s="8" t="s">
        <v>16</v>
      </c>
      <c r="J192" s="10">
        <v>9014</v>
      </c>
    </row>
    <row r="193" spans="1:10" x14ac:dyDescent="0.25">
      <c r="A193" s="6">
        <v>190</v>
      </c>
      <c r="B193" s="7">
        <v>44098</v>
      </c>
      <c r="C193" s="8" t="s">
        <v>35</v>
      </c>
      <c r="D193" s="8" t="s">
        <v>23</v>
      </c>
      <c r="E193" s="8" t="s">
        <v>36</v>
      </c>
      <c r="F193" s="8" t="s">
        <v>30</v>
      </c>
      <c r="G193" s="8" t="s">
        <v>34</v>
      </c>
      <c r="H193" s="8">
        <v>2020</v>
      </c>
      <c r="I193" s="8" t="s">
        <v>16</v>
      </c>
      <c r="J193" s="10">
        <v>1942</v>
      </c>
    </row>
    <row r="194" spans="1:10" x14ac:dyDescent="0.25">
      <c r="A194" s="6">
        <v>191</v>
      </c>
      <c r="B194" s="7">
        <v>44098</v>
      </c>
      <c r="C194" s="8" t="s">
        <v>22</v>
      </c>
      <c r="D194" s="8" t="s">
        <v>23</v>
      </c>
      <c r="E194" s="8" t="s">
        <v>13</v>
      </c>
      <c r="F194" s="8" t="s">
        <v>26</v>
      </c>
      <c r="G194" s="8" t="s">
        <v>34</v>
      </c>
      <c r="H194" s="8">
        <v>2020</v>
      </c>
      <c r="I194" s="8" t="s">
        <v>16</v>
      </c>
      <c r="J194" s="10">
        <v>7223</v>
      </c>
    </row>
    <row r="195" spans="1:10" x14ac:dyDescent="0.25">
      <c r="A195" s="6">
        <v>192</v>
      </c>
      <c r="B195" s="7">
        <v>44099</v>
      </c>
      <c r="C195" s="8" t="s">
        <v>11</v>
      </c>
      <c r="D195" s="8" t="s">
        <v>12</v>
      </c>
      <c r="E195" s="8" t="s">
        <v>13</v>
      </c>
      <c r="F195" s="8" t="s">
        <v>26</v>
      </c>
      <c r="G195" s="8" t="s">
        <v>34</v>
      </c>
      <c r="H195" s="8">
        <v>2020</v>
      </c>
      <c r="I195" s="8" t="s">
        <v>16</v>
      </c>
      <c r="J195" s="10">
        <v>4673</v>
      </c>
    </row>
    <row r="196" spans="1:10" x14ac:dyDescent="0.25">
      <c r="A196" s="6">
        <v>193</v>
      </c>
      <c r="B196" s="7">
        <v>44100</v>
      </c>
      <c r="C196" s="8" t="s">
        <v>11</v>
      </c>
      <c r="D196" s="8" t="s">
        <v>12</v>
      </c>
      <c r="E196" s="8" t="s">
        <v>36</v>
      </c>
      <c r="F196" s="8" t="s">
        <v>26</v>
      </c>
      <c r="G196" s="8" t="s">
        <v>34</v>
      </c>
      <c r="H196" s="8">
        <v>2020</v>
      </c>
      <c r="I196" s="8" t="s">
        <v>16</v>
      </c>
      <c r="J196" s="10">
        <v>9104</v>
      </c>
    </row>
    <row r="197" spans="1:10" x14ac:dyDescent="0.25">
      <c r="A197" s="6">
        <v>194</v>
      </c>
      <c r="B197" s="7">
        <v>44101</v>
      </c>
      <c r="C197" s="8" t="s">
        <v>35</v>
      </c>
      <c r="D197" s="8" t="s">
        <v>23</v>
      </c>
      <c r="E197" s="8" t="s">
        <v>13</v>
      </c>
      <c r="F197" s="8" t="s">
        <v>26</v>
      </c>
      <c r="G197" s="8" t="s">
        <v>34</v>
      </c>
      <c r="H197" s="8">
        <v>2020</v>
      </c>
      <c r="I197" s="8" t="s">
        <v>16</v>
      </c>
      <c r="J197" s="10">
        <v>6078</v>
      </c>
    </row>
    <row r="198" spans="1:10" x14ac:dyDescent="0.25">
      <c r="A198" s="6">
        <v>195</v>
      </c>
      <c r="B198" s="7">
        <v>44101</v>
      </c>
      <c r="C198" s="8" t="s">
        <v>28</v>
      </c>
      <c r="D198" s="8" t="s">
        <v>12</v>
      </c>
      <c r="E198" s="8" t="s">
        <v>29</v>
      </c>
      <c r="F198" s="8" t="s">
        <v>26</v>
      </c>
      <c r="G198" s="8" t="s">
        <v>34</v>
      </c>
      <c r="H198" s="8">
        <v>2020</v>
      </c>
      <c r="I198" s="8" t="s">
        <v>16</v>
      </c>
      <c r="J198" s="10">
        <v>3278</v>
      </c>
    </row>
    <row r="199" spans="1:10" x14ac:dyDescent="0.25">
      <c r="A199" s="6">
        <v>196</v>
      </c>
      <c r="B199" s="7">
        <v>44102</v>
      </c>
      <c r="C199" s="8" t="s">
        <v>22</v>
      </c>
      <c r="D199" s="8" t="s">
        <v>23</v>
      </c>
      <c r="E199" s="8" t="s">
        <v>25</v>
      </c>
      <c r="F199" s="8" t="s">
        <v>14</v>
      </c>
      <c r="G199" s="8" t="s">
        <v>34</v>
      </c>
      <c r="H199" s="8">
        <v>2020</v>
      </c>
      <c r="I199" s="8" t="s">
        <v>16</v>
      </c>
      <c r="J199" s="10">
        <v>136</v>
      </c>
    </row>
    <row r="200" spans="1:10" x14ac:dyDescent="0.25">
      <c r="A200" s="6">
        <v>197</v>
      </c>
      <c r="B200" s="7">
        <v>44102</v>
      </c>
      <c r="C200" s="8" t="s">
        <v>22</v>
      </c>
      <c r="D200" s="8" t="s">
        <v>23</v>
      </c>
      <c r="E200" s="8" t="s">
        <v>32</v>
      </c>
      <c r="F200" s="8" t="s">
        <v>14</v>
      </c>
      <c r="G200" s="8" t="s">
        <v>34</v>
      </c>
      <c r="H200" s="8">
        <v>2020</v>
      </c>
      <c r="I200" s="8" t="s">
        <v>16</v>
      </c>
      <c r="J200" s="10">
        <v>8377</v>
      </c>
    </row>
    <row r="201" spans="1:10" x14ac:dyDescent="0.25">
      <c r="A201" s="6">
        <v>198</v>
      </c>
      <c r="B201" s="7">
        <v>44103</v>
      </c>
      <c r="C201" s="8" t="s">
        <v>22</v>
      </c>
      <c r="D201" s="8" t="s">
        <v>23</v>
      </c>
      <c r="E201" s="8" t="s">
        <v>13</v>
      </c>
      <c r="F201" s="8" t="s">
        <v>14</v>
      </c>
      <c r="G201" s="8" t="s">
        <v>34</v>
      </c>
      <c r="H201" s="8">
        <v>2020</v>
      </c>
      <c r="I201" s="8" t="s">
        <v>16</v>
      </c>
      <c r="J201" s="10">
        <v>2382</v>
      </c>
    </row>
    <row r="202" spans="1:10" x14ac:dyDescent="0.25">
      <c r="A202" s="6">
        <v>199</v>
      </c>
      <c r="B202" s="7">
        <v>44104</v>
      </c>
      <c r="C202" s="8" t="s">
        <v>22</v>
      </c>
      <c r="D202" s="8" t="s">
        <v>23</v>
      </c>
      <c r="E202" s="8" t="s">
        <v>29</v>
      </c>
      <c r="F202" s="8" t="s">
        <v>14</v>
      </c>
      <c r="G202" s="8" t="s">
        <v>34</v>
      </c>
      <c r="H202" s="8">
        <v>2020</v>
      </c>
      <c r="I202" s="8" t="s">
        <v>16</v>
      </c>
      <c r="J202" s="10">
        <v>8702</v>
      </c>
    </row>
    <row r="203" spans="1:10" x14ac:dyDescent="0.25">
      <c r="A203" s="6">
        <v>200</v>
      </c>
      <c r="B203" s="7">
        <v>44111</v>
      </c>
      <c r="C203" s="8" t="s">
        <v>22</v>
      </c>
      <c r="D203" s="8" t="s">
        <v>23</v>
      </c>
      <c r="E203" s="8" t="s">
        <v>13</v>
      </c>
      <c r="F203" s="8" t="s">
        <v>14</v>
      </c>
      <c r="G203" s="8" t="s">
        <v>37</v>
      </c>
      <c r="H203" s="8">
        <v>2020</v>
      </c>
      <c r="I203" s="8" t="s">
        <v>38</v>
      </c>
      <c r="J203" s="10">
        <v>5021</v>
      </c>
    </row>
    <row r="204" spans="1:10" x14ac:dyDescent="0.25">
      <c r="A204" s="6">
        <v>201</v>
      </c>
      <c r="B204" s="7">
        <v>44111</v>
      </c>
      <c r="C204" s="8" t="s">
        <v>35</v>
      </c>
      <c r="D204" s="8" t="s">
        <v>23</v>
      </c>
      <c r="E204" s="8" t="s">
        <v>32</v>
      </c>
      <c r="F204" s="8" t="s">
        <v>14</v>
      </c>
      <c r="G204" s="8" t="s">
        <v>37</v>
      </c>
      <c r="H204" s="8">
        <v>2020</v>
      </c>
      <c r="I204" s="8" t="s">
        <v>38</v>
      </c>
      <c r="J204" s="10">
        <v>1760</v>
      </c>
    </row>
    <row r="205" spans="1:10" x14ac:dyDescent="0.25">
      <c r="A205" s="6">
        <v>202</v>
      </c>
      <c r="B205" s="7">
        <v>44112</v>
      </c>
      <c r="C205" s="8" t="s">
        <v>22</v>
      </c>
      <c r="D205" s="8" t="s">
        <v>23</v>
      </c>
      <c r="E205" s="8" t="s">
        <v>29</v>
      </c>
      <c r="F205" s="8" t="s">
        <v>14</v>
      </c>
      <c r="G205" s="8" t="s">
        <v>37</v>
      </c>
      <c r="H205" s="8">
        <v>2020</v>
      </c>
      <c r="I205" s="8" t="s">
        <v>38</v>
      </c>
      <c r="J205" s="10">
        <v>4766</v>
      </c>
    </row>
    <row r="206" spans="1:10" x14ac:dyDescent="0.25">
      <c r="A206" s="6">
        <v>203</v>
      </c>
      <c r="B206" s="7">
        <v>44112</v>
      </c>
      <c r="C206" s="8" t="s">
        <v>28</v>
      </c>
      <c r="D206" s="8" t="s">
        <v>12</v>
      </c>
      <c r="E206" s="8" t="s">
        <v>19</v>
      </c>
      <c r="F206" s="8" t="s">
        <v>14</v>
      </c>
      <c r="G206" s="8" t="s">
        <v>37</v>
      </c>
      <c r="H206" s="8">
        <v>2020</v>
      </c>
      <c r="I206" s="8" t="s">
        <v>38</v>
      </c>
      <c r="J206" s="10">
        <v>1541</v>
      </c>
    </row>
    <row r="207" spans="1:10" x14ac:dyDescent="0.25">
      <c r="A207" s="6">
        <v>204</v>
      </c>
      <c r="B207" s="7">
        <v>44112</v>
      </c>
      <c r="C207" s="8" t="s">
        <v>31</v>
      </c>
      <c r="D207" s="8" t="s">
        <v>23</v>
      </c>
      <c r="E207" s="8" t="s">
        <v>19</v>
      </c>
      <c r="F207" s="8" t="s">
        <v>14</v>
      </c>
      <c r="G207" s="8" t="s">
        <v>37</v>
      </c>
      <c r="H207" s="8">
        <v>2020</v>
      </c>
      <c r="I207" s="8" t="s">
        <v>38</v>
      </c>
      <c r="J207" s="10">
        <v>2782</v>
      </c>
    </row>
    <row r="208" spans="1:10" x14ac:dyDescent="0.25">
      <c r="A208" s="6">
        <v>205</v>
      </c>
      <c r="B208" s="7">
        <v>44113</v>
      </c>
      <c r="C208" s="8" t="s">
        <v>35</v>
      </c>
      <c r="D208" s="8" t="s">
        <v>23</v>
      </c>
      <c r="E208" s="8" t="s">
        <v>25</v>
      </c>
      <c r="F208" s="8" t="s">
        <v>14</v>
      </c>
      <c r="G208" s="8" t="s">
        <v>37</v>
      </c>
      <c r="H208" s="8">
        <v>2020</v>
      </c>
      <c r="I208" s="8" t="s">
        <v>38</v>
      </c>
      <c r="J208" s="10">
        <v>2455</v>
      </c>
    </row>
    <row r="209" spans="1:10" x14ac:dyDescent="0.25">
      <c r="A209" s="6">
        <v>206</v>
      </c>
      <c r="B209" s="7">
        <v>44113</v>
      </c>
      <c r="C209" s="8" t="s">
        <v>35</v>
      </c>
      <c r="D209" s="8" t="s">
        <v>23</v>
      </c>
      <c r="E209" s="8" t="s">
        <v>33</v>
      </c>
      <c r="F209" s="8" t="s">
        <v>14</v>
      </c>
      <c r="G209" s="8" t="s">
        <v>37</v>
      </c>
      <c r="H209" s="8">
        <v>2020</v>
      </c>
      <c r="I209" s="8" t="s">
        <v>38</v>
      </c>
      <c r="J209" s="10">
        <v>4512</v>
      </c>
    </row>
    <row r="210" spans="1:10" x14ac:dyDescent="0.25">
      <c r="A210" s="6">
        <v>207</v>
      </c>
      <c r="B210" s="7">
        <v>44113</v>
      </c>
      <c r="C210" s="8" t="s">
        <v>35</v>
      </c>
      <c r="D210" s="8" t="s">
        <v>23</v>
      </c>
      <c r="E210" s="8" t="s">
        <v>29</v>
      </c>
      <c r="F210" s="8" t="s">
        <v>14</v>
      </c>
      <c r="G210" s="8" t="s">
        <v>37</v>
      </c>
      <c r="H210" s="8">
        <v>2020</v>
      </c>
      <c r="I210" s="8" t="s">
        <v>38</v>
      </c>
      <c r="J210" s="10">
        <v>8752</v>
      </c>
    </row>
    <row r="211" spans="1:10" x14ac:dyDescent="0.25">
      <c r="A211" s="6">
        <v>208</v>
      </c>
      <c r="B211" s="7">
        <v>44114</v>
      </c>
      <c r="C211" s="8" t="s">
        <v>11</v>
      </c>
      <c r="D211" s="8" t="s">
        <v>12</v>
      </c>
      <c r="E211" s="8" t="s">
        <v>13</v>
      </c>
      <c r="F211" s="8" t="s">
        <v>14</v>
      </c>
      <c r="G211" s="8" t="s">
        <v>37</v>
      </c>
      <c r="H211" s="8">
        <v>2020</v>
      </c>
      <c r="I211" s="8" t="s">
        <v>38</v>
      </c>
      <c r="J211" s="10">
        <v>9127</v>
      </c>
    </row>
    <row r="212" spans="1:10" x14ac:dyDescent="0.25">
      <c r="A212" s="6">
        <v>209</v>
      </c>
      <c r="B212" s="7">
        <v>44116</v>
      </c>
      <c r="C212" s="8" t="s">
        <v>35</v>
      </c>
      <c r="D212" s="8" t="s">
        <v>23</v>
      </c>
      <c r="E212" s="8" t="s">
        <v>36</v>
      </c>
      <c r="F212" s="8" t="s">
        <v>14</v>
      </c>
      <c r="G212" s="8" t="s">
        <v>37</v>
      </c>
      <c r="H212" s="8">
        <v>2020</v>
      </c>
      <c r="I212" s="8" t="s">
        <v>38</v>
      </c>
      <c r="J212" s="10">
        <v>1777</v>
      </c>
    </row>
    <row r="213" spans="1:10" x14ac:dyDescent="0.25">
      <c r="A213" s="6">
        <v>210</v>
      </c>
      <c r="B213" s="7">
        <v>44116</v>
      </c>
      <c r="C213" s="8" t="s">
        <v>28</v>
      </c>
      <c r="D213" s="8" t="s">
        <v>12</v>
      </c>
      <c r="E213" s="8" t="s">
        <v>36</v>
      </c>
      <c r="F213" s="8" t="s">
        <v>14</v>
      </c>
      <c r="G213" s="8" t="s">
        <v>37</v>
      </c>
      <c r="H213" s="8">
        <v>2020</v>
      </c>
      <c r="I213" s="8" t="s">
        <v>38</v>
      </c>
      <c r="J213" s="10">
        <v>680</v>
      </c>
    </row>
    <row r="214" spans="1:10" x14ac:dyDescent="0.25">
      <c r="A214" s="6">
        <v>211</v>
      </c>
      <c r="B214" s="7">
        <v>44118</v>
      </c>
      <c r="C214" s="8" t="s">
        <v>31</v>
      </c>
      <c r="D214" s="8" t="s">
        <v>23</v>
      </c>
      <c r="E214" s="8" t="s">
        <v>13</v>
      </c>
      <c r="F214" s="8" t="s">
        <v>14</v>
      </c>
      <c r="G214" s="8" t="s">
        <v>37</v>
      </c>
      <c r="H214" s="8">
        <v>2020</v>
      </c>
      <c r="I214" s="8" t="s">
        <v>38</v>
      </c>
      <c r="J214" s="10">
        <v>958</v>
      </c>
    </row>
    <row r="215" spans="1:10" x14ac:dyDescent="0.25">
      <c r="A215" s="6">
        <v>212</v>
      </c>
      <c r="B215" s="7">
        <v>44119</v>
      </c>
      <c r="C215" s="8" t="s">
        <v>11</v>
      </c>
      <c r="D215" s="8" t="s">
        <v>12</v>
      </c>
      <c r="E215" s="8" t="s">
        <v>32</v>
      </c>
      <c r="F215" s="8" t="s">
        <v>14</v>
      </c>
      <c r="G215" s="8" t="s">
        <v>37</v>
      </c>
      <c r="H215" s="8">
        <v>2020</v>
      </c>
      <c r="I215" s="8" t="s">
        <v>38</v>
      </c>
      <c r="J215" s="10">
        <v>2613</v>
      </c>
    </row>
    <row r="216" spans="1:10" x14ac:dyDescent="0.25">
      <c r="A216" s="11">
        <v>213</v>
      </c>
      <c r="B216" s="12">
        <v>44122</v>
      </c>
      <c r="C216" s="13" t="s">
        <v>11</v>
      </c>
      <c r="D216" s="13" t="s">
        <v>12</v>
      </c>
      <c r="E216" s="13" t="s">
        <v>32</v>
      </c>
      <c r="F216" s="13" t="s">
        <v>26</v>
      </c>
      <c r="G216" s="13" t="s">
        <v>37</v>
      </c>
      <c r="H216" s="13">
        <v>2020</v>
      </c>
      <c r="I216" s="13" t="s">
        <v>38</v>
      </c>
      <c r="J216" s="14">
        <v>339</v>
      </c>
    </row>
    <row r="217" spans="1:10" x14ac:dyDescent="0.25">
      <c r="A217" s="11">
        <v>214</v>
      </c>
      <c r="B217" s="12">
        <v>44123</v>
      </c>
      <c r="C217" s="13" t="s">
        <v>22</v>
      </c>
      <c r="D217" s="13" t="s">
        <v>23</v>
      </c>
      <c r="E217" s="13" t="s">
        <v>51</v>
      </c>
      <c r="F217" s="13" t="s">
        <v>26</v>
      </c>
      <c r="G217" s="13" t="s">
        <v>37</v>
      </c>
      <c r="H217" s="13">
        <v>2019</v>
      </c>
      <c r="I217" s="13" t="s">
        <v>42</v>
      </c>
      <c r="J217" s="14">
        <v>5000</v>
      </c>
    </row>
    <row r="219" spans="1:10" x14ac:dyDescent="0.25">
      <c r="D219" t="s">
        <v>52</v>
      </c>
    </row>
  </sheetData>
  <mergeCells count="1">
    <mergeCell ref="A1:J1"/>
  </mergeCells>
  <pageMargins left="0.7" right="0.7" top="0.75" bottom="0.75" header="0.3" footer="0.3"/>
  <pageSetup scale="90" orientation="portrait" r:id="rId1"/>
  <headerFooter>
    <oddHeader>&amp;L&amp;"-,Bold Italic"&amp;K08-045Atlas&amp;C&amp;N&amp;R&amp;T</oddHeader>
    <oddFooter>&amp;L&amp;"-,Bold Italic"&amp;14ahmed&amp;C&amp;P&amp;R&amp;T</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workbookViewId="0">
      <selection activeCell="J19" sqref="J19"/>
    </sheetView>
  </sheetViews>
  <sheetFormatPr defaultRowHeight="15" x14ac:dyDescent="0.25"/>
  <cols>
    <col min="1" max="1" width="14.42578125" customWidth="1"/>
    <col min="2" max="2" width="14.85546875" bestFit="1" customWidth="1"/>
    <col min="3" max="3" width="13.5703125" customWidth="1"/>
    <col min="4" max="4" width="11.28515625" customWidth="1"/>
    <col min="5" max="5" width="14.85546875" bestFit="1" customWidth="1"/>
    <col min="8" max="8" width="11.28515625" customWidth="1"/>
    <col min="9" max="9" width="10.5703125" customWidth="1"/>
    <col min="10" max="10" width="14.85546875" customWidth="1"/>
    <col min="11" max="11" width="14.85546875" bestFit="1" customWidth="1"/>
    <col min="12" max="12" width="16.5703125" bestFit="1" customWidth="1"/>
    <col min="13" max="13" width="11.28515625" customWidth="1"/>
    <col min="14" max="14" width="15.140625" customWidth="1"/>
    <col min="15" max="22" width="2" customWidth="1"/>
    <col min="23" max="112" width="3" customWidth="1"/>
    <col min="113" max="227" width="4" customWidth="1"/>
    <col min="228" max="228" width="11.28515625" bestFit="1" customWidth="1"/>
  </cols>
  <sheetData>
    <row r="1" spans="1:14" x14ac:dyDescent="0.25">
      <c r="A1" s="15" t="s">
        <v>8</v>
      </c>
      <c r="B1" t="s">
        <v>56</v>
      </c>
    </row>
    <row r="3" spans="1:14" x14ac:dyDescent="0.25">
      <c r="A3" s="15" t="s">
        <v>4</v>
      </c>
      <c r="B3" t="s">
        <v>54</v>
      </c>
      <c r="C3" t="s">
        <v>55</v>
      </c>
      <c r="D3" t="s">
        <v>57</v>
      </c>
    </row>
    <row r="4" spans="1:14" x14ac:dyDescent="0.25">
      <c r="A4" s="16" t="s">
        <v>35</v>
      </c>
      <c r="B4" s="19">
        <v>191257</v>
      </c>
      <c r="C4" s="18">
        <v>0.18483687595072743</v>
      </c>
      <c r="D4" s="20">
        <v>19125.7</v>
      </c>
      <c r="H4" s="15" t="s">
        <v>6</v>
      </c>
      <c r="I4" t="s">
        <v>57</v>
      </c>
      <c r="J4" t="s">
        <v>54</v>
      </c>
      <c r="M4" s="15" t="s">
        <v>6</v>
      </c>
      <c r="N4" t="s">
        <v>78</v>
      </c>
    </row>
    <row r="5" spans="1:14" x14ac:dyDescent="0.25">
      <c r="A5" s="16" t="s">
        <v>22</v>
      </c>
      <c r="B5" s="19">
        <v>345295</v>
      </c>
      <c r="C5" s="18">
        <v>0.33370412105913211</v>
      </c>
      <c r="D5" s="20">
        <v>34529.5</v>
      </c>
      <c r="H5" s="16" t="s">
        <v>20</v>
      </c>
      <c r="I5" s="20">
        <v>12798.7</v>
      </c>
      <c r="J5" s="17">
        <v>127987</v>
      </c>
      <c r="M5" s="16" t="s">
        <v>20</v>
      </c>
      <c r="N5" s="17">
        <v>2561</v>
      </c>
    </row>
    <row r="6" spans="1:14" x14ac:dyDescent="0.25">
      <c r="A6" s="16" t="s">
        <v>28</v>
      </c>
      <c r="B6" s="19">
        <v>57281</v>
      </c>
      <c r="C6" s="18">
        <v>5.5358188674577237E-2</v>
      </c>
      <c r="D6" s="20">
        <v>5728.1</v>
      </c>
      <c r="H6" s="16" t="s">
        <v>26</v>
      </c>
      <c r="I6" s="20">
        <v>30542.300000000003</v>
      </c>
      <c r="J6" s="17">
        <v>305423</v>
      </c>
      <c r="M6" s="16" t="s">
        <v>26</v>
      </c>
      <c r="N6" s="17">
        <v>6898</v>
      </c>
    </row>
    <row r="7" spans="1:14" x14ac:dyDescent="0.25">
      <c r="A7" s="16" t="s">
        <v>18</v>
      </c>
      <c r="B7" s="19">
        <v>142439</v>
      </c>
      <c r="C7" s="18">
        <v>0.1376576008906637</v>
      </c>
      <c r="D7" s="20">
        <v>14243.900000000001</v>
      </c>
      <c r="H7" s="16" t="s">
        <v>14</v>
      </c>
      <c r="I7" s="20">
        <v>45549.100000000006</v>
      </c>
      <c r="J7" s="17">
        <v>455491</v>
      </c>
      <c r="M7" s="16" t="s">
        <v>14</v>
      </c>
      <c r="N7" s="17">
        <v>10278</v>
      </c>
    </row>
    <row r="8" spans="1:14" x14ac:dyDescent="0.25">
      <c r="A8" s="16" t="s">
        <v>11</v>
      </c>
      <c r="B8" s="19">
        <v>136945</v>
      </c>
      <c r="C8" s="18">
        <v>0.13234802374330021</v>
      </c>
      <c r="D8" s="20">
        <v>13694.5</v>
      </c>
      <c r="H8" s="16" t="s">
        <v>30</v>
      </c>
      <c r="I8" s="20">
        <v>14583.300000000001</v>
      </c>
      <c r="J8" s="17">
        <v>145833</v>
      </c>
      <c r="M8" s="16" t="s">
        <v>30</v>
      </c>
      <c r="N8" s="17">
        <v>3268</v>
      </c>
    </row>
    <row r="9" spans="1:14" x14ac:dyDescent="0.25">
      <c r="A9" s="16" t="s">
        <v>43</v>
      </c>
      <c r="B9" s="19">
        <v>57079</v>
      </c>
      <c r="C9" s="18">
        <v>5.5162969420160156E-2</v>
      </c>
      <c r="D9" s="20">
        <v>5707.9000000000005</v>
      </c>
      <c r="H9" s="16" t="s">
        <v>53</v>
      </c>
      <c r="I9" s="20">
        <v>103473.40000000001</v>
      </c>
      <c r="J9" s="17">
        <v>1034734</v>
      </c>
      <c r="M9" s="16" t="s">
        <v>53</v>
      </c>
      <c r="N9" s="17">
        <v>23005</v>
      </c>
    </row>
    <row r="10" spans="1:14" x14ac:dyDescent="0.25">
      <c r="A10" s="16" t="s">
        <v>31</v>
      </c>
      <c r="B10" s="19">
        <v>104438</v>
      </c>
      <c r="C10" s="18">
        <v>0.10093222026143917</v>
      </c>
      <c r="D10" s="20">
        <v>10443.800000000001</v>
      </c>
    </row>
    <row r="11" spans="1:14" x14ac:dyDescent="0.25">
      <c r="A11" s="16" t="s">
        <v>53</v>
      </c>
      <c r="B11" s="17">
        <v>1034734</v>
      </c>
      <c r="C11" s="18">
        <v>1</v>
      </c>
      <c r="D11" s="20">
        <v>103473.40000000001</v>
      </c>
    </row>
    <row r="15" spans="1:14" x14ac:dyDescent="0.25">
      <c r="D15" s="15" t="s">
        <v>8</v>
      </c>
      <c r="E15" t="s">
        <v>56</v>
      </c>
    </row>
    <row r="17" spans="1:12" x14ac:dyDescent="0.25">
      <c r="A17" s="15" t="s">
        <v>5</v>
      </c>
      <c r="B17" t="s">
        <v>54</v>
      </c>
      <c r="D17" s="15" t="s">
        <v>9</v>
      </c>
      <c r="E17" t="s">
        <v>54</v>
      </c>
    </row>
    <row r="18" spans="1:12" x14ac:dyDescent="0.25">
      <c r="A18" s="16" t="s">
        <v>32</v>
      </c>
      <c r="B18" s="17">
        <v>131713</v>
      </c>
      <c r="D18" s="16" t="s">
        <v>65</v>
      </c>
      <c r="E18" s="23">
        <v>279049</v>
      </c>
      <c r="H18" t="s">
        <v>59</v>
      </c>
      <c r="J18" t="s">
        <v>60</v>
      </c>
      <c r="L18" t="s">
        <v>61</v>
      </c>
    </row>
    <row r="19" spans="1:12" x14ac:dyDescent="0.25">
      <c r="A19" s="16" t="s">
        <v>25</v>
      </c>
      <c r="B19" s="17">
        <v>94745</v>
      </c>
      <c r="D19" s="16" t="s">
        <v>68</v>
      </c>
      <c r="E19" s="23">
        <v>317729</v>
      </c>
      <c r="H19" t="s">
        <v>54</v>
      </c>
      <c r="J19" t="s">
        <v>62</v>
      </c>
      <c r="L19" t="s">
        <v>58</v>
      </c>
    </row>
    <row r="20" spans="1:12" x14ac:dyDescent="0.25">
      <c r="A20" s="16" t="s">
        <v>51</v>
      </c>
      <c r="B20" s="17">
        <v>5000</v>
      </c>
      <c r="D20" s="16" t="s">
        <v>63</v>
      </c>
      <c r="E20" s="23">
        <v>342341</v>
      </c>
      <c r="H20" s="19">
        <v>1034734</v>
      </c>
      <c r="J20" s="22">
        <v>4835.2056074766351</v>
      </c>
      <c r="L20" s="17">
        <v>214</v>
      </c>
    </row>
    <row r="21" spans="1:12" x14ac:dyDescent="0.25">
      <c r="A21" s="16" t="s">
        <v>36</v>
      </c>
      <c r="B21" s="17">
        <v>141056</v>
      </c>
      <c r="D21" s="16" t="s">
        <v>73</v>
      </c>
      <c r="E21" s="23">
        <v>95615</v>
      </c>
    </row>
    <row r="22" spans="1:12" x14ac:dyDescent="0.25">
      <c r="A22" s="16" t="s">
        <v>29</v>
      </c>
      <c r="B22" s="17">
        <v>155168</v>
      </c>
      <c r="D22" s="16" t="s">
        <v>53</v>
      </c>
      <c r="E22" s="17">
        <v>1034734</v>
      </c>
    </row>
    <row r="23" spans="1:12" x14ac:dyDescent="0.25">
      <c r="A23" s="16" t="s">
        <v>33</v>
      </c>
      <c r="B23" s="17">
        <v>66782</v>
      </c>
    </row>
    <row r="24" spans="1:12" x14ac:dyDescent="0.25">
      <c r="A24" s="16" t="s">
        <v>19</v>
      </c>
      <c r="B24" s="17">
        <v>173137</v>
      </c>
    </row>
    <row r="25" spans="1:12" x14ac:dyDescent="0.25">
      <c r="A25" s="16" t="s">
        <v>13</v>
      </c>
      <c r="B25" s="17">
        <v>267133</v>
      </c>
      <c r="D25" s="15" t="s">
        <v>7</v>
      </c>
      <c r="E25" t="s">
        <v>54</v>
      </c>
    </row>
    <row r="26" spans="1:12" x14ac:dyDescent="0.25">
      <c r="A26" s="16" t="s">
        <v>53</v>
      </c>
      <c r="B26" s="17">
        <v>1034734</v>
      </c>
      <c r="D26" s="21" t="s">
        <v>66</v>
      </c>
      <c r="E26" s="17">
        <v>129501</v>
      </c>
    </row>
    <row r="27" spans="1:12" x14ac:dyDescent="0.25">
      <c r="D27" s="21" t="s">
        <v>67</v>
      </c>
      <c r="E27" s="17">
        <v>69826</v>
      </c>
    </row>
    <row r="28" spans="1:12" x14ac:dyDescent="0.25">
      <c r="D28" s="21" t="s">
        <v>76</v>
      </c>
      <c r="E28" s="17">
        <v>79722</v>
      </c>
    </row>
    <row r="29" spans="1:12" x14ac:dyDescent="0.25">
      <c r="D29" s="21" t="s">
        <v>69</v>
      </c>
      <c r="E29" s="17">
        <v>132640</v>
      </c>
    </row>
    <row r="30" spans="1:12" x14ac:dyDescent="0.25">
      <c r="D30" s="21" t="s">
        <v>47</v>
      </c>
      <c r="E30" s="17">
        <v>112298</v>
      </c>
    </row>
    <row r="31" spans="1:12" x14ac:dyDescent="0.25">
      <c r="D31" s="21" t="s">
        <v>70</v>
      </c>
      <c r="E31" s="17">
        <v>72791</v>
      </c>
    </row>
    <row r="32" spans="1:12" x14ac:dyDescent="0.25">
      <c r="D32" s="21" t="s">
        <v>71</v>
      </c>
      <c r="E32" s="17">
        <v>69701</v>
      </c>
    </row>
    <row r="33" spans="4:5" x14ac:dyDescent="0.25">
      <c r="D33" s="21" t="s">
        <v>64</v>
      </c>
      <c r="E33" s="17">
        <v>112077</v>
      </c>
    </row>
    <row r="34" spans="4:5" x14ac:dyDescent="0.25">
      <c r="D34" s="21" t="s">
        <v>72</v>
      </c>
      <c r="E34" s="17">
        <v>160563</v>
      </c>
    </row>
    <row r="35" spans="4:5" x14ac:dyDescent="0.25">
      <c r="D35" s="21" t="s">
        <v>74</v>
      </c>
      <c r="E35" s="17">
        <v>67764</v>
      </c>
    </row>
    <row r="36" spans="4:5" x14ac:dyDescent="0.25">
      <c r="D36" s="21" t="s">
        <v>75</v>
      </c>
      <c r="E36" s="17">
        <v>21005</v>
      </c>
    </row>
    <row r="37" spans="4:5" x14ac:dyDescent="0.25">
      <c r="D37" s="21" t="s">
        <v>77</v>
      </c>
      <c r="E37" s="17">
        <v>6846</v>
      </c>
    </row>
    <row r="38" spans="4:5" x14ac:dyDescent="0.25">
      <c r="D38" s="21" t="s">
        <v>53</v>
      </c>
      <c r="E38" s="17">
        <v>1034734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B4:Y51"/>
  <sheetViews>
    <sheetView showGridLines="0" zoomScale="70" zoomScaleNormal="70" workbookViewId="0">
      <selection activeCell="AE16" sqref="AE16"/>
    </sheetView>
  </sheetViews>
  <sheetFormatPr defaultRowHeight="15" x14ac:dyDescent="0.25"/>
  <cols>
    <col min="2" max="2" width="9.140625" customWidth="1"/>
    <col min="24" max="24" width="18.140625" customWidth="1"/>
  </cols>
  <sheetData>
    <row r="4" spans="2:25" x14ac:dyDescent="0.25">
      <c r="B4" s="24"/>
      <c r="C4" s="24"/>
      <c r="D4" s="24"/>
      <c r="E4" s="25"/>
      <c r="F4" s="25"/>
      <c r="G4" s="25"/>
      <c r="H4" s="25"/>
      <c r="I4" s="25"/>
      <c r="J4" s="25"/>
      <c r="K4" s="25"/>
      <c r="L4" s="25"/>
      <c r="M4" s="25"/>
      <c r="N4" s="25"/>
      <c r="O4" s="25"/>
      <c r="P4" s="25"/>
      <c r="Q4" s="25"/>
      <c r="R4" s="25"/>
      <c r="S4" s="25"/>
      <c r="T4" s="25"/>
      <c r="U4" s="25"/>
      <c r="V4" s="25"/>
      <c r="W4" s="25"/>
      <c r="X4" s="25"/>
      <c r="Y4" s="25"/>
    </row>
    <row r="5" spans="2:25" x14ac:dyDescent="0.25">
      <c r="B5" s="24"/>
      <c r="C5" s="24"/>
      <c r="D5" s="24"/>
      <c r="E5" s="25"/>
      <c r="F5" s="25"/>
      <c r="G5" s="25"/>
      <c r="H5" s="25"/>
      <c r="I5" s="25"/>
      <c r="J5" s="25"/>
      <c r="K5" s="25"/>
      <c r="L5" s="25"/>
      <c r="M5" s="25"/>
      <c r="N5" s="25"/>
      <c r="O5" s="25"/>
      <c r="P5" s="25"/>
      <c r="Q5" s="25"/>
      <c r="R5" s="25"/>
      <c r="S5" s="25"/>
      <c r="T5" s="25"/>
      <c r="U5" s="25"/>
      <c r="V5" s="25"/>
      <c r="W5" s="25"/>
      <c r="X5" s="25"/>
      <c r="Y5" s="25"/>
    </row>
    <row r="6" spans="2:25" x14ac:dyDescent="0.25">
      <c r="B6" s="24"/>
      <c r="C6" s="24"/>
      <c r="D6" s="24"/>
      <c r="E6" s="25"/>
      <c r="F6" s="25"/>
      <c r="G6" s="25"/>
      <c r="H6" s="25"/>
      <c r="I6" s="25"/>
      <c r="J6" s="25"/>
      <c r="K6" s="25"/>
      <c r="L6" s="25"/>
      <c r="M6" s="25"/>
      <c r="N6" s="25"/>
      <c r="O6" s="25"/>
      <c r="P6" s="25"/>
      <c r="Q6" s="25"/>
      <c r="R6" s="25"/>
      <c r="S6" s="25"/>
      <c r="T6" s="25"/>
      <c r="U6" s="25"/>
      <c r="V6" s="25"/>
      <c r="W6" s="25"/>
      <c r="X6" s="25"/>
      <c r="Y6" s="25"/>
    </row>
    <row r="7" spans="2:25" x14ac:dyDescent="0.25">
      <c r="B7" s="24"/>
      <c r="C7" s="24"/>
      <c r="D7" s="24"/>
      <c r="E7" s="25"/>
      <c r="F7" s="25"/>
      <c r="G7" s="25"/>
      <c r="H7" s="25"/>
      <c r="I7" s="25"/>
      <c r="J7" s="25"/>
      <c r="K7" s="25"/>
      <c r="L7" s="25"/>
      <c r="M7" s="25"/>
      <c r="N7" s="25"/>
      <c r="O7" s="25"/>
      <c r="P7" s="25"/>
      <c r="Q7" s="25"/>
      <c r="R7" s="25"/>
      <c r="S7" s="25"/>
      <c r="T7" s="25"/>
      <c r="U7" s="25"/>
      <c r="V7" s="25"/>
      <c r="W7" s="25"/>
      <c r="X7" s="25"/>
      <c r="Y7" s="25"/>
    </row>
    <row r="8" spans="2:25" ht="23.25" customHeight="1" x14ac:dyDescent="0.35">
      <c r="B8" s="24"/>
      <c r="C8" s="24"/>
      <c r="D8" s="24"/>
      <c r="E8" s="25"/>
      <c r="F8" s="25"/>
      <c r="G8" s="25"/>
      <c r="H8" s="25"/>
      <c r="I8" s="25"/>
      <c r="J8" s="25"/>
      <c r="K8" s="25"/>
      <c r="L8" s="25"/>
      <c r="M8" s="25"/>
      <c r="N8" s="25"/>
      <c r="O8" s="25"/>
      <c r="P8" s="25"/>
      <c r="Q8" s="25"/>
      <c r="R8" s="25"/>
      <c r="S8" s="25"/>
      <c r="T8" s="25"/>
      <c r="U8" s="25"/>
      <c r="V8" s="25"/>
      <c r="W8" s="25"/>
      <c r="X8" s="27">
        <f ca="1">TODAY()</f>
        <v>46054</v>
      </c>
      <c r="Y8" s="27"/>
    </row>
    <row r="9" spans="2:25" ht="23.25" customHeight="1" x14ac:dyDescent="0.35">
      <c r="B9" s="24"/>
      <c r="C9" s="24"/>
      <c r="D9" s="24"/>
      <c r="E9" s="25"/>
      <c r="F9" s="25"/>
      <c r="G9" s="25"/>
      <c r="H9" s="25"/>
      <c r="I9" s="25"/>
      <c r="J9" s="25"/>
      <c r="K9" s="25"/>
      <c r="L9" s="25"/>
      <c r="M9" s="25"/>
      <c r="N9" s="25"/>
      <c r="O9" s="25"/>
      <c r="P9" s="25"/>
      <c r="Q9" s="25"/>
      <c r="R9" s="25"/>
      <c r="S9" s="25"/>
      <c r="T9" s="25"/>
      <c r="U9" s="25"/>
      <c r="V9" s="25"/>
      <c r="W9" s="25"/>
      <c r="X9" s="28">
        <f ca="1">NOW()</f>
        <v>46054.948122685186</v>
      </c>
      <c r="Y9" s="28"/>
    </row>
    <row r="10" spans="2:25" x14ac:dyDescent="0.25">
      <c r="B10" s="24"/>
      <c r="C10" s="24"/>
      <c r="D10" s="24"/>
      <c r="E10" s="25"/>
      <c r="F10" s="25"/>
      <c r="G10" s="25"/>
      <c r="H10" s="25"/>
      <c r="I10" s="25"/>
      <c r="J10" s="25"/>
      <c r="K10" s="25"/>
      <c r="L10" s="25"/>
      <c r="M10" s="25"/>
      <c r="N10" s="25"/>
      <c r="O10" s="25"/>
      <c r="P10" s="25"/>
      <c r="Q10" s="25"/>
      <c r="R10" s="25"/>
      <c r="S10" s="25"/>
      <c r="T10" s="25"/>
      <c r="U10" s="25"/>
      <c r="V10" s="25"/>
      <c r="W10" s="25"/>
      <c r="X10" s="25"/>
      <c r="Y10" s="25"/>
    </row>
    <row r="11" spans="2:25" x14ac:dyDescent="0.25">
      <c r="B11" s="24"/>
      <c r="C11" s="24"/>
      <c r="D11" s="24"/>
      <c r="E11" s="25"/>
      <c r="F11" s="25"/>
      <c r="G11" s="25"/>
      <c r="H11" s="25"/>
      <c r="I11" s="25"/>
      <c r="J11" s="25"/>
      <c r="K11" s="25"/>
      <c r="L11" s="25"/>
      <c r="M11" s="25"/>
      <c r="N11" s="25"/>
      <c r="O11" s="25"/>
      <c r="P11" s="25"/>
      <c r="Q11" s="25"/>
      <c r="R11" s="25"/>
      <c r="S11" s="25"/>
      <c r="T11" s="25"/>
      <c r="U11" s="25"/>
      <c r="V11" s="25"/>
      <c r="W11" s="25"/>
      <c r="X11" s="25"/>
      <c r="Y11" s="25"/>
    </row>
    <row r="12" spans="2:25" x14ac:dyDescent="0.25">
      <c r="B12" s="24"/>
      <c r="C12" s="24"/>
      <c r="D12" s="24"/>
      <c r="E12" s="25"/>
      <c r="F12" s="25"/>
      <c r="G12" s="25"/>
      <c r="H12" s="25"/>
      <c r="I12" s="25"/>
      <c r="J12" s="25"/>
      <c r="K12" s="25"/>
      <c r="L12" s="25"/>
      <c r="M12" s="25"/>
      <c r="N12" s="25"/>
      <c r="O12" s="25"/>
      <c r="P12" s="25"/>
      <c r="Q12" s="25"/>
      <c r="R12" s="25"/>
      <c r="S12" s="25"/>
      <c r="T12" s="25"/>
      <c r="U12" s="25"/>
      <c r="V12" s="25"/>
      <c r="W12" s="25"/>
      <c r="X12" s="25"/>
      <c r="Y12" s="25"/>
    </row>
    <row r="13" spans="2:25" x14ac:dyDescent="0.25">
      <c r="B13" s="24"/>
      <c r="C13" s="24"/>
      <c r="D13" s="24"/>
      <c r="E13" s="25"/>
      <c r="F13" s="25"/>
      <c r="G13" s="25"/>
      <c r="H13" s="25"/>
      <c r="I13" s="25"/>
      <c r="J13" s="25"/>
      <c r="K13" s="25"/>
      <c r="L13" s="25"/>
      <c r="M13" s="25"/>
      <c r="N13" s="25"/>
      <c r="O13" s="25"/>
      <c r="P13" s="25"/>
      <c r="Q13" s="25"/>
      <c r="R13" s="25"/>
      <c r="S13" s="25"/>
      <c r="T13" s="25"/>
      <c r="U13" s="25"/>
      <c r="V13" s="25"/>
      <c r="W13" s="25"/>
      <c r="X13" s="25"/>
      <c r="Y13" s="25"/>
    </row>
    <row r="14" spans="2:25" x14ac:dyDescent="0.25">
      <c r="B14" s="24"/>
      <c r="C14" s="24"/>
      <c r="D14" s="24"/>
      <c r="E14" s="25"/>
      <c r="F14" s="25"/>
      <c r="G14" s="25"/>
      <c r="H14" s="25"/>
      <c r="I14" s="25"/>
      <c r="J14" s="25"/>
      <c r="K14" s="25"/>
      <c r="L14" s="25"/>
      <c r="M14" s="25"/>
      <c r="N14" s="25"/>
      <c r="O14" s="25"/>
      <c r="P14" s="25"/>
      <c r="Q14" s="25"/>
      <c r="R14" s="25"/>
      <c r="S14" s="25"/>
      <c r="T14" s="25"/>
      <c r="U14" s="25"/>
      <c r="V14" s="25"/>
      <c r="W14" s="25"/>
      <c r="X14" s="25"/>
      <c r="Y14" s="25"/>
    </row>
    <row r="15" spans="2:25" x14ac:dyDescent="0.25">
      <c r="B15" s="24"/>
      <c r="C15" s="24"/>
      <c r="D15" s="24"/>
      <c r="E15" s="25"/>
      <c r="F15" s="25"/>
      <c r="G15" s="25"/>
      <c r="H15" s="25"/>
      <c r="I15" s="25"/>
      <c r="J15" s="25"/>
      <c r="K15" s="25"/>
      <c r="L15" s="25"/>
      <c r="M15" s="25"/>
      <c r="N15" s="25"/>
      <c r="O15" s="25"/>
      <c r="P15" s="25"/>
      <c r="Q15" s="25"/>
      <c r="R15" s="25"/>
      <c r="S15" s="25"/>
      <c r="T15" s="25"/>
      <c r="U15" s="25"/>
      <c r="V15" s="25"/>
      <c r="W15" s="25"/>
      <c r="X15" s="25"/>
      <c r="Y15" s="25"/>
    </row>
    <row r="16" spans="2:25" x14ac:dyDescent="0.25">
      <c r="B16" s="24"/>
      <c r="C16" s="24"/>
      <c r="D16" s="24"/>
      <c r="E16" s="25"/>
      <c r="F16" s="25"/>
      <c r="G16" s="25"/>
      <c r="H16" s="25"/>
      <c r="I16" s="25"/>
      <c r="J16" s="25"/>
      <c r="K16" s="25"/>
      <c r="L16" s="25"/>
      <c r="M16" s="25"/>
      <c r="N16" s="25"/>
      <c r="O16" s="25"/>
      <c r="P16" s="25"/>
      <c r="Q16" s="25"/>
      <c r="R16" s="25"/>
      <c r="S16" s="25"/>
      <c r="T16" s="25"/>
      <c r="U16" s="25"/>
      <c r="V16" s="25"/>
      <c r="W16" s="25"/>
      <c r="X16" s="25"/>
      <c r="Y16" s="25"/>
    </row>
    <row r="17" spans="2:25" x14ac:dyDescent="0.25">
      <c r="B17" s="24"/>
      <c r="C17" s="24"/>
      <c r="D17" s="24"/>
      <c r="E17" s="25"/>
      <c r="F17" s="25"/>
      <c r="G17" s="25"/>
      <c r="H17" s="25"/>
      <c r="I17" s="25"/>
      <c r="J17" s="25"/>
      <c r="K17" s="25"/>
      <c r="L17" s="25"/>
      <c r="M17" s="25"/>
      <c r="N17" s="25"/>
      <c r="O17" s="25"/>
      <c r="P17" s="25"/>
      <c r="Q17" s="25"/>
      <c r="R17" s="25"/>
      <c r="S17" s="25"/>
      <c r="T17" s="25"/>
      <c r="U17" s="25"/>
      <c r="V17" s="25"/>
      <c r="W17" s="25"/>
      <c r="X17" s="25"/>
      <c r="Y17" s="25"/>
    </row>
    <row r="18" spans="2:25" x14ac:dyDescent="0.25">
      <c r="B18" s="24"/>
      <c r="C18" s="24"/>
      <c r="D18" s="24"/>
      <c r="E18" s="25"/>
      <c r="F18" s="25"/>
      <c r="G18" s="25"/>
      <c r="H18" s="25"/>
      <c r="I18" s="25"/>
      <c r="J18" s="25"/>
      <c r="K18" s="25"/>
      <c r="L18" s="25"/>
      <c r="M18" s="25"/>
      <c r="N18" s="25"/>
      <c r="O18" s="25"/>
      <c r="P18" s="25"/>
      <c r="Q18" s="25"/>
      <c r="R18" s="25"/>
      <c r="S18" s="25"/>
      <c r="T18" s="25"/>
      <c r="U18" s="25"/>
      <c r="V18" s="25"/>
      <c r="W18" s="25"/>
      <c r="X18" s="25"/>
      <c r="Y18" s="25"/>
    </row>
    <row r="19" spans="2:25" x14ac:dyDescent="0.25">
      <c r="B19" s="24"/>
      <c r="C19" s="24"/>
      <c r="D19" s="24"/>
      <c r="E19" s="25"/>
      <c r="F19" s="25"/>
      <c r="G19" s="25"/>
      <c r="H19" s="25"/>
      <c r="I19" s="25"/>
      <c r="J19" s="25"/>
      <c r="K19" s="25"/>
      <c r="L19" s="25"/>
      <c r="M19" s="25"/>
      <c r="N19" s="25"/>
      <c r="O19" s="25"/>
      <c r="P19" s="25"/>
      <c r="Q19" s="25"/>
      <c r="R19" s="25"/>
      <c r="S19" s="25"/>
      <c r="T19" s="25"/>
      <c r="U19" s="25"/>
      <c r="V19" s="25"/>
      <c r="W19" s="25"/>
      <c r="X19" s="25"/>
      <c r="Y19" s="25"/>
    </row>
    <row r="20" spans="2:25" x14ac:dyDescent="0.25">
      <c r="B20" s="24"/>
      <c r="C20" s="24"/>
      <c r="D20" s="24"/>
      <c r="E20" s="25"/>
      <c r="F20" s="25"/>
      <c r="G20" s="25"/>
      <c r="H20" s="25"/>
      <c r="I20" s="25"/>
      <c r="J20" s="25"/>
      <c r="K20" s="25"/>
      <c r="L20" s="25"/>
      <c r="M20" s="25"/>
      <c r="N20" s="25"/>
      <c r="O20" s="25"/>
      <c r="P20" s="25"/>
      <c r="Q20" s="25"/>
      <c r="R20" s="25"/>
      <c r="S20" s="25"/>
      <c r="T20" s="25"/>
      <c r="U20" s="25"/>
      <c r="V20" s="25"/>
      <c r="W20" s="25"/>
      <c r="X20" s="25"/>
      <c r="Y20" s="25"/>
    </row>
    <row r="21" spans="2:25" x14ac:dyDescent="0.25">
      <c r="B21" s="24"/>
      <c r="C21" s="24"/>
      <c r="D21" s="24"/>
      <c r="E21" s="25"/>
      <c r="F21" s="25"/>
      <c r="G21" s="25"/>
      <c r="H21" s="25"/>
      <c r="I21" s="25"/>
      <c r="J21" s="25"/>
      <c r="K21" s="25"/>
      <c r="L21" s="25"/>
      <c r="M21" s="25"/>
      <c r="N21" s="25"/>
      <c r="O21" s="25"/>
      <c r="P21" s="25"/>
      <c r="Q21" s="25"/>
      <c r="R21" s="25"/>
      <c r="S21" s="25"/>
      <c r="T21" s="25"/>
      <c r="U21" s="25"/>
      <c r="V21" s="25"/>
      <c r="W21" s="25"/>
      <c r="X21" s="25"/>
      <c r="Y21" s="25"/>
    </row>
    <row r="22" spans="2:25" x14ac:dyDescent="0.25">
      <c r="B22" s="24"/>
      <c r="C22" s="24"/>
      <c r="D22" s="24"/>
      <c r="E22" s="25"/>
      <c r="F22" s="25"/>
      <c r="G22" s="25"/>
      <c r="H22" s="25"/>
      <c r="I22" s="25"/>
      <c r="J22" s="25"/>
      <c r="K22" s="25"/>
      <c r="L22" s="25"/>
      <c r="M22" s="25"/>
      <c r="N22" s="25"/>
      <c r="O22" s="25"/>
      <c r="P22" s="25"/>
      <c r="Q22" s="25"/>
      <c r="R22" s="25"/>
      <c r="S22" s="25"/>
      <c r="T22" s="25"/>
      <c r="U22" s="25"/>
      <c r="V22" s="25"/>
      <c r="W22" s="25"/>
      <c r="X22" s="25"/>
      <c r="Y22" s="25"/>
    </row>
    <row r="23" spans="2:25" x14ac:dyDescent="0.25">
      <c r="B23" s="24"/>
      <c r="C23" s="24"/>
      <c r="D23" s="24"/>
      <c r="E23" s="25"/>
      <c r="F23" s="25"/>
      <c r="G23" s="25"/>
      <c r="H23" s="25"/>
      <c r="I23" s="25"/>
      <c r="J23" s="25"/>
      <c r="K23" s="25"/>
      <c r="L23" s="25"/>
      <c r="M23" s="25"/>
      <c r="N23" s="25"/>
      <c r="O23" s="25"/>
      <c r="P23" s="25"/>
      <c r="Q23" s="25"/>
      <c r="R23" s="25"/>
      <c r="S23" s="25"/>
      <c r="T23" s="25"/>
      <c r="U23" s="25"/>
      <c r="V23" s="25"/>
      <c r="W23" s="25"/>
      <c r="X23" s="25"/>
      <c r="Y23" s="25"/>
    </row>
    <row r="24" spans="2:25" x14ac:dyDescent="0.25">
      <c r="B24" s="24"/>
      <c r="C24" s="24"/>
      <c r="D24" s="24"/>
      <c r="E24" s="25"/>
      <c r="F24" s="25"/>
      <c r="G24" s="25"/>
      <c r="H24" s="25"/>
      <c r="I24" s="25"/>
      <c r="J24" s="25"/>
      <c r="K24" s="25"/>
      <c r="L24" s="25"/>
      <c r="M24" s="25"/>
      <c r="N24" s="25"/>
      <c r="O24" s="25"/>
      <c r="P24" s="25"/>
      <c r="Q24" s="25"/>
      <c r="R24" s="25"/>
      <c r="S24" s="25"/>
      <c r="T24" s="25"/>
      <c r="U24" s="25"/>
      <c r="V24" s="25"/>
      <c r="W24" s="25"/>
      <c r="X24" s="25"/>
      <c r="Y24" s="25"/>
    </row>
    <row r="25" spans="2:25" x14ac:dyDescent="0.25">
      <c r="B25" s="24"/>
      <c r="C25" s="24"/>
      <c r="D25" s="24"/>
      <c r="E25" s="25"/>
      <c r="F25" s="25"/>
      <c r="G25" s="25"/>
      <c r="H25" s="25"/>
      <c r="I25" s="25"/>
      <c r="J25" s="25"/>
      <c r="K25" s="25"/>
      <c r="L25" s="25"/>
      <c r="M25" s="25"/>
      <c r="N25" s="25"/>
      <c r="O25" s="25"/>
      <c r="P25" s="25"/>
      <c r="Q25" s="25"/>
      <c r="R25" s="25"/>
      <c r="S25" s="25"/>
      <c r="T25" s="25"/>
      <c r="U25" s="25"/>
      <c r="V25" s="25"/>
      <c r="W25" s="25"/>
      <c r="X25" s="25"/>
      <c r="Y25" s="25"/>
    </row>
    <row r="26" spans="2:25" x14ac:dyDescent="0.25">
      <c r="B26" s="24"/>
      <c r="C26" s="24"/>
      <c r="D26" s="24"/>
      <c r="E26" s="25"/>
      <c r="F26" s="25"/>
      <c r="G26" s="25"/>
      <c r="H26" s="25"/>
      <c r="I26" s="25"/>
      <c r="J26" s="25"/>
      <c r="K26" s="25"/>
      <c r="L26" s="25"/>
      <c r="M26" s="25"/>
      <c r="N26" s="25"/>
      <c r="O26" s="25"/>
      <c r="P26" s="25"/>
      <c r="Q26" s="25"/>
      <c r="R26" s="25"/>
      <c r="S26" s="25"/>
      <c r="T26" s="25"/>
      <c r="U26" s="25"/>
      <c r="V26" s="25"/>
      <c r="W26" s="25"/>
      <c r="X26" s="25"/>
      <c r="Y26" s="25"/>
    </row>
    <row r="27" spans="2:25" x14ac:dyDescent="0.25">
      <c r="B27" s="24"/>
      <c r="C27" s="24"/>
      <c r="D27" s="24"/>
      <c r="E27" s="25"/>
      <c r="F27" s="25"/>
      <c r="G27" s="25"/>
      <c r="H27" s="25"/>
      <c r="I27" s="25"/>
      <c r="J27" s="25"/>
      <c r="K27" s="25"/>
      <c r="L27" s="25"/>
      <c r="M27" s="25"/>
      <c r="N27" s="25"/>
      <c r="O27" s="25"/>
      <c r="P27" s="25"/>
      <c r="Q27" s="25"/>
      <c r="R27" s="25"/>
      <c r="S27" s="25"/>
      <c r="T27" s="25"/>
      <c r="U27" s="25"/>
      <c r="V27" s="25"/>
      <c r="W27" s="25"/>
      <c r="X27" s="25"/>
      <c r="Y27" s="25"/>
    </row>
    <row r="28" spans="2:25" x14ac:dyDescent="0.25">
      <c r="B28" s="24"/>
      <c r="C28" s="24"/>
      <c r="D28" s="24"/>
      <c r="E28" s="25"/>
      <c r="F28" s="25"/>
      <c r="G28" s="25"/>
      <c r="H28" s="25"/>
      <c r="I28" s="25"/>
      <c r="J28" s="25"/>
      <c r="K28" s="25"/>
      <c r="L28" s="25"/>
      <c r="M28" s="25"/>
      <c r="N28" s="25"/>
      <c r="O28" s="25"/>
      <c r="P28" s="25"/>
      <c r="Q28" s="25"/>
      <c r="R28" s="25"/>
      <c r="S28" s="25"/>
      <c r="T28" s="25"/>
      <c r="U28" s="25"/>
      <c r="V28" s="25"/>
      <c r="W28" s="25"/>
      <c r="X28" s="25"/>
      <c r="Y28" s="25"/>
    </row>
    <row r="29" spans="2:25" x14ac:dyDescent="0.25">
      <c r="B29" s="24"/>
      <c r="C29" s="24"/>
      <c r="D29" s="24"/>
      <c r="E29" s="25"/>
      <c r="F29" s="25"/>
      <c r="G29" s="25"/>
      <c r="H29" s="25"/>
      <c r="I29" s="25"/>
      <c r="J29" s="25"/>
      <c r="K29" s="25"/>
      <c r="L29" s="25"/>
      <c r="M29" s="25"/>
      <c r="N29" s="25"/>
      <c r="O29" s="25"/>
      <c r="P29" s="25"/>
      <c r="Q29" s="25"/>
      <c r="R29" s="25"/>
      <c r="S29" s="25"/>
      <c r="T29" s="25"/>
      <c r="U29" s="25"/>
      <c r="V29" s="25"/>
      <c r="W29" s="25"/>
      <c r="X29" s="25"/>
      <c r="Y29" s="25"/>
    </row>
    <row r="30" spans="2:25" x14ac:dyDescent="0.25">
      <c r="B30" s="24"/>
      <c r="C30" s="24"/>
      <c r="D30" s="24"/>
      <c r="E30" s="25"/>
      <c r="F30" s="25"/>
      <c r="G30" s="25"/>
      <c r="H30" s="25"/>
      <c r="I30" s="25"/>
      <c r="J30" s="25"/>
      <c r="K30" s="25"/>
      <c r="L30" s="25"/>
      <c r="M30" s="25"/>
      <c r="N30" s="25"/>
      <c r="O30" s="25"/>
      <c r="P30" s="25"/>
      <c r="Q30" s="25"/>
      <c r="R30" s="25"/>
      <c r="S30" s="25"/>
      <c r="T30" s="25"/>
      <c r="U30" s="25"/>
      <c r="V30" s="25"/>
      <c r="W30" s="25"/>
      <c r="X30" s="25"/>
      <c r="Y30" s="25"/>
    </row>
    <row r="31" spans="2:25" x14ac:dyDescent="0.25">
      <c r="B31" s="24"/>
      <c r="C31" s="24"/>
      <c r="D31" s="24"/>
      <c r="E31" s="25"/>
      <c r="F31" s="25"/>
      <c r="G31" s="25"/>
      <c r="H31" s="25"/>
      <c r="I31" s="25"/>
      <c r="J31" s="25"/>
      <c r="K31" s="25"/>
      <c r="L31" s="25"/>
      <c r="M31" s="25"/>
      <c r="N31" s="25"/>
      <c r="O31" s="25"/>
      <c r="P31" s="25"/>
      <c r="Q31" s="25"/>
      <c r="R31" s="25"/>
      <c r="S31" s="25"/>
      <c r="T31" s="25"/>
      <c r="U31" s="25"/>
      <c r="V31" s="25"/>
      <c r="W31" s="25"/>
      <c r="X31" s="25"/>
      <c r="Y31" s="25"/>
    </row>
    <row r="32" spans="2:25" x14ac:dyDescent="0.25">
      <c r="B32" s="24"/>
      <c r="C32" s="24"/>
      <c r="D32" s="24"/>
      <c r="E32" s="25"/>
      <c r="F32" s="25"/>
      <c r="G32" s="25"/>
      <c r="H32" s="25"/>
      <c r="I32" s="25"/>
      <c r="J32" s="25"/>
      <c r="K32" s="25"/>
      <c r="L32" s="25"/>
      <c r="M32" s="25"/>
      <c r="N32" s="25"/>
      <c r="O32" s="25"/>
      <c r="P32" s="25"/>
      <c r="Q32" s="25"/>
      <c r="R32" s="25"/>
      <c r="S32" s="25"/>
      <c r="T32" s="25"/>
      <c r="U32" s="25"/>
      <c r="V32" s="25"/>
      <c r="W32" s="25"/>
      <c r="X32" s="25"/>
      <c r="Y32" s="25"/>
    </row>
    <row r="33" spans="2:25" x14ac:dyDescent="0.25">
      <c r="B33" s="24"/>
      <c r="C33" s="24"/>
      <c r="D33" s="24"/>
      <c r="E33" s="25"/>
      <c r="F33" s="25"/>
      <c r="G33" s="25"/>
      <c r="H33" s="25"/>
      <c r="I33" s="25"/>
      <c r="J33" s="25"/>
      <c r="K33" s="25"/>
      <c r="L33" s="25"/>
      <c r="M33" s="25"/>
      <c r="N33" s="25"/>
      <c r="O33" s="25"/>
      <c r="P33" s="25"/>
      <c r="Q33" s="25"/>
      <c r="R33" s="25"/>
      <c r="S33" s="25"/>
      <c r="T33" s="25"/>
      <c r="U33" s="25"/>
      <c r="V33" s="25"/>
      <c r="W33" s="25"/>
      <c r="X33" s="25"/>
      <c r="Y33" s="25"/>
    </row>
    <row r="34" spans="2:25" x14ac:dyDescent="0.25">
      <c r="B34" s="24"/>
      <c r="C34" s="24"/>
      <c r="D34" s="24"/>
      <c r="E34" s="25"/>
      <c r="F34" s="25"/>
      <c r="G34" s="25"/>
      <c r="H34" s="25"/>
      <c r="I34" s="25"/>
      <c r="J34" s="25"/>
      <c r="K34" s="25"/>
      <c r="L34" s="25"/>
      <c r="M34" s="25"/>
      <c r="N34" s="25"/>
      <c r="O34" s="25"/>
      <c r="P34" s="25"/>
      <c r="Q34" s="25"/>
      <c r="R34" s="25"/>
      <c r="S34" s="25"/>
      <c r="T34" s="25"/>
      <c r="U34" s="25"/>
      <c r="V34" s="25"/>
      <c r="W34" s="25"/>
      <c r="X34" s="25"/>
      <c r="Y34" s="25"/>
    </row>
    <row r="35" spans="2:25" x14ac:dyDescent="0.25">
      <c r="B35" s="24"/>
      <c r="C35" s="24"/>
      <c r="D35" s="24"/>
      <c r="E35" s="25"/>
      <c r="F35" s="25"/>
      <c r="G35" s="25"/>
      <c r="H35" s="25"/>
      <c r="I35" s="25"/>
      <c r="J35" s="25"/>
      <c r="K35" s="25"/>
      <c r="L35" s="25"/>
      <c r="M35" s="25"/>
      <c r="N35" s="25"/>
      <c r="O35" s="25"/>
      <c r="P35" s="25"/>
      <c r="Q35" s="25"/>
      <c r="R35" s="25"/>
      <c r="S35" s="25"/>
      <c r="T35" s="25"/>
      <c r="U35" s="25"/>
      <c r="V35" s="25"/>
      <c r="W35" s="25"/>
      <c r="X35" s="25"/>
      <c r="Y35" s="25"/>
    </row>
    <row r="36" spans="2:25" x14ac:dyDescent="0.25">
      <c r="B36" s="24"/>
      <c r="C36" s="24"/>
      <c r="D36" s="24"/>
      <c r="E36" s="25"/>
      <c r="F36" s="25"/>
      <c r="G36" s="25"/>
      <c r="H36" s="25"/>
      <c r="I36" s="25"/>
      <c r="J36" s="25"/>
      <c r="K36" s="25"/>
      <c r="L36" s="25"/>
      <c r="M36" s="25"/>
      <c r="N36" s="25"/>
      <c r="O36" s="25"/>
      <c r="P36" s="25"/>
      <c r="Q36" s="25"/>
      <c r="R36" s="25"/>
      <c r="S36" s="25"/>
      <c r="T36" s="25"/>
      <c r="U36" s="25"/>
      <c r="V36" s="25"/>
      <c r="W36" s="25"/>
      <c r="X36" s="25"/>
      <c r="Y36" s="25"/>
    </row>
    <row r="37" spans="2:25" x14ac:dyDescent="0.25">
      <c r="B37" s="24"/>
      <c r="C37" s="24"/>
      <c r="D37" s="24"/>
      <c r="E37" s="25"/>
      <c r="F37" s="25"/>
      <c r="G37" s="25"/>
      <c r="H37" s="25"/>
      <c r="I37" s="25"/>
      <c r="J37" s="25"/>
      <c r="K37" s="25"/>
      <c r="L37" s="25"/>
      <c r="M37" s="25"/>
      <c r="N37" s="25"/>
      <c r="O37" s="25"/>
      <c r="P37" s="25"/>
      <c r="Q37" s="25"/>
      <c r="R37" s="25"/>
      <c r="S37" s="25"/>
      <c r="T37" s="25"/>
      <c r="U37" s="25"/>
      <c r="V37" s="25"/>
      <c r="W37" s="25"/>
      <c r="X37" s="25"/>
      <c r="Y37" s="25"/>
    </row>
    <row r="38" spans="2:25" x14ac:dyDescent="0.25">
      <c r="B38" s="24"/>
      <c r="C38" s="24"/>
      <c r="D38" s="24"/>
      <c r="E38" s="25"/>
      <c r="F38" s="25"/>
      <c r="G38" s="25"/>
      <c r="H38" s="25"/>
      <c r="I38" s="25"/>
      <c r="J38" s="25"/>
      <c r="K38" s="25"/>
      <c r="L38" s="25"/>
      <c r="M38" s="25"/>
      <c r="N38" s="25"/>
      <c r="O38" s="25"/>
      <c r="P38" s="25"/>
      <c r="Q38" s="25"/>
      <c r="R38" s="25"/>
      <c r="S38" s="25"/>
      <c r="T38" s="25"/>
      <c r="U38" s="25"/>
      <c r="V38" s="25"/>
      <c r="W38" s="25"/>
      <c r="X38" s="25"/>
      <c r="Y38" s="25"/>
    </row>
    <row r="39" spans="2:25" x14ac:dyDescent="0.25">
      <c r="B39" s="24"/>
      <c r="C39" s="24"/>
      <c r="D39" s="24"/>
      <c r="E39" s="25"/>
      <c r="F39" s="25"/>
      <c r="G39" s="25"/>
      <c r="H39" s="25"/>
      <c r="I39" s="25"/>
      <c r="J39" s="25"/>
      <c r="K39" s="25"/>
      <c r="L39" s="25"/>
      <c r="M39" s="25"/>
      <c r="N39" s="25"/>
      <c r="O39" s="25"/>
      <c r="P39" s="25"/>
      <c r="Q39" s="25"/>
      <c r="R39" s="25"/>
      <c r="S39" s="25"/>
      <c r="T39" s="25"/>
      <c r="U39" s="25"/>
      <c r="V39" s="25"/>
      <c r="W39" s="25"/>
      <c r="X39" s="25"/>
      <c r="Y39" s="25"/>
    </row>
    <row r="40" spans="2:25" x14ac:dyDescent="0.25">
      <c r="B40" s="24"/>
      <c r="C40" s="24"/>
      <c r="D40" s="24"/>
      <c r="E40" s="25"/>
      <c r="F40" s="25"/>
      <c r="G40" s="25"/>
      <c r="H40" s="25"/>
      <c r="I40" s="25"/>
      <c r="J40" s="25"/>
      <c r="K40" s="25"/>
      <c r="L40" s="25"/>
      <c r="M40" s="25"/>
      <c r="N40" s="25"/>
      <c r="O40" s="25"/>
      <c r="P40" s="25"/>
      <c r="Q40" s="25"/>
      <c r="R40" s="25"/>
      <c r="S40" s="25"/>
      <c r="T40" s="25"/>
      <c r="U40" s="25"/>
      <c r="V40" s="25"/>
      <c r="W40" s="25"/>
      <c r="X40" s="25"/>
      <c r="Y40" s="25"/>
    </row>
    <row r="41" spans="2:25" x14ac:dyDescent="0.25">
      <c r="B41" s="24"/>
      <c r="C41" s="24"/>
      <c r="D41" s="24"/>
      <c r="E41" s="25"/>
      <c r="F41" s="25"/>
      <c r="G41" s="25"/>
      <c r="H41" s="25"/>
      <c r="I41" s="25"/>
      <c r="J41" s="25"/>
      <c r="K41" s="25"/>
      <c r="L41" s="25"/>
      <c r="M41" s="25"/>
      <c r="N41" s="25"/>
      <c r="O41" s="25"/>
      <c r="P41" s="25"/>
      <c r="Q41" s="25"/>
      <c r="R41" s="25"/>
      <c r="S41" s="25"/>
      <c r="T41" s="25"/>
      <c r="U41" s="25"/>
      <c r="V41" s="25"/>
      <c r="W41" s="25"/>
      <c r="X41" s="25"/>
      <c r="Y41" s="25"/>
    </row>
    <row r="42" spans="2:25" x14ac:dyDescent="0.25">
      <c r="B42" s="24"/>
      <c r="C42" s="24"/>
      <c r="D42" s="24"/>
      <c r="E42" s="25"/>
      <c r="F42" s="25"/>
      <c r="G42" s="25"/>
      <c r="H42" s="25"/>
      <c r="I42" s="25"/>
      <c r="J42" s="25"/>
      <c r="K42" s="25"/>
      <c r="L42" s="25"/>
      <c r="M42" s="25"/>
      <c r="N42" s="25"/>
      <c r="O42" s="25"/>
      <c r="P42" s="25"/>
      <c r="Q42" s="25"/>
      <c r="R42" s="25"/>
      <c r="S42" s="25"/>
      <c r="T42" s="25"/>
      <c r="U42" s="25"/>
      <c r="V42" s="25"/>
      <c r="W42" s="25"/>
      <c r="X42" s="25"/>
      <c r="Y42" s="25"/>
    </row>
    <row r="43" spans="2:25" x14ac:dyDescent="0.25">
      <c r="B43" s="24"/>
      <c r="C43" s="24"/>
      <c r="D43" s="24"/>
      <c r="E43" s="25"/>
      <c r="F43" s="25"/>
      <c r="G43" s="25"/>
      <c r="H43" s="25"/>
      <c r="I43" s="25"/>
      <c r="J43" s="25"/>
      <c r="K43" s="25"/>
      <c r="L43" s="25"/>
      <c r="M43" s="25"/>
      <c r="N43" s="25"/>
      <c r="O43" s="25"/>
      <c r="P43" s="25"/>
      <c r="Q43" s="25"/>
      <c r="R43" s="25"/>
      <c r="S43" s="25"/>
      <c r="T43" s="25"/>
      <c r="U43" s="25"/>
      <c r="V43" s="25"/>
      <c r="W43" s="25"/>
      <c r="X43" s="25"/>
      <c r="Y43" s="25"/>
    </row>
    <row r="44" spans="2:25" x14ac:dyDescent="0.25">
      <c r="B44" s="24"/>
      <c r="C44" s="24"/>
      <c r="D44" s="24"/>
      <c r="E44" s="25"/>
      <c r="F44" s="25"/>
      <c r="G44" s="25"/>
      <c r="H44" s="25"/>
      <c r="I44" s="25"/>
      <c r="J44" s="25"/>
      <c r="K44" s="25"/>
      <c r="L44" s="25"/>
      <c r="M44" s="25"/>
      <c r="N44" s="25"/>
      <c r="O44" s="25"/>
      <c r="P44" s="25"/>
      <c r="Q44" s="25"/>
      <c r="R44" s="25"/>
      <c r="S44" s="25"/>
      <c r="T44" s="25"/>
      <c r="U44" s="25"/>
      <c r="V44" s="25"/>
      <c r="W44" s="25"/>
      <c r="X44" s="25"/>
      <c r="Y44" s="25"/>
    </row>
    <row r="45" spans="2:25" x14ac:dyDescent="0.25">
      <c r="B45" s="24"/>
      <c r="C45" s="24"/>
      <c r="D45" s="24"/>
      <c r="E45" s="25"/>
      <c r="F45" s="25"/>
      <c r="G45" s="25"/>
      <c r="H45" s="25"/>
      <c r="I45" s="25"/>
      <c r="J45" s="25"/>
      <c r="K45" s="25"/>
      <c r="L45" s="25"/>
      <c r="M45" s="25"/>
      <c r="N45" s="25"/>
      <c r="O45" s="25"/>
      <c r="P45" s="25"/>
      <c r="Q45" s="25"/>
      <c r="R45" s="25"/>
      <c r="S45" s="25"/>
      <c r="T45" s="25"/>
      <c r="U45" s="25"/>
      <c r="V45" s="25"/>
      <c r="W45" s="25"/>
      <c r="X45" s="25"/>
      <c r="Y45" s="25"/>
    </row>
    <row r="46" spans="2:25" x14ac:dyDescent="0.25">
      <c r="B46" s="24"/>
      <c r="C46" s="24"/>
      <c r="D46" s="24"/>
      <c r="E46" s="25"/>
      <c r="F46" s="25"/>
      <c r="G46" s="25"/>
      <c r="H46" s="25"/>
      <c r="I46" s="25"/>
      <c r="J46" s="25"/>
      <c r="K46" s="25"/>
      <c r="L46" s="25"/>
      <c r="M46" s="25"/>
      <c r="N46" s="25"/>
      <c r="O46" s="25"/>
      <c r="P46" s="25"/>
      <c r="Q46" s="25"/>
      <c r="R46" s="25"/>
      <c r="S46" s="25"/>
      <c r="T46" s="25"/>
      <c r="U46" s="25"/>
      <c r="V46" s="25"/>
      <c r="W46" s="25"/>
      <c r="X46" s="25"/>
      <c r="Y46" s="25"/>
    </row>
    <row r="47" spans="2:25" x14ac:dyDescent="0.25">
      <c r="B47" s="24"/>
      <c r="C47" s="24"/>
      <c r="D47" s="24"/>
      <c r="E47" s="25"/>
      <c r="F47" s="25"/>
      <c r="G47" s="25"/>
      <c r="H47" s="25"/>
      <c r="I47" s="25"/>
      <c r="J47" s="25"/>
      <c r="K47" s="25"/>
      <c r="L47" s="25"/>
      <c r="M47" s="25"/>
      <c r="N47" s="25"/>
      <c r="O47" s="25"/>
      <c r="P47" s="25"/>
      <c r="Q47" s="25"/>
      <c r="R47" s="25"/>
      <c r="S47" s="25"/>
      <c r="T47" s="25"/>
      <c r="U47" s="25"/>
      <c r="V47" s="25"/>
      <c r="W47" s="25"/>
      <c r="X47" s="25"/>
      <c r="Y47" s="25"/>
    </row>
    <row r="48" spans="2:25" x14ac:dyDescent="0.25">
      <c r="B48" s="24"/>
      <c r="C48" s="24"/>
      <c r="D48" s="24"/>
      <c r="E48" s="25"/>
      <c r="F48" s="25"/>
      <c r="G48" s="25"/>
      <c r="H48" s="25"/>
      <c r="I48" s="25"/>
      <c r="J48" s="25"/>
      <c r="K48" s="25"/>
      <c r="L48" s="25"/>
      <c r="M48" s="25"/>
      <c r="N48" s="25"/>
      <c r="O48" s="25"/>
      <c r="P48" s="25"/>
      <c r="Q48" s="25"/>
      <c r="R48" s="25"/>
      <c r="S48" s="25"/>
      <c r="T48" s="25"/>
      <c r="U48" s="25"/>
      <c r="V48" s="25"/>
      <c r="W48" s="25"/>
      <c r="X48" s="25"/>
      <c r="Y48" s="25"/>
    </row>
    <row r="49" spans="2:25" x14ac:dyDescent="0.25">
      <c r="B49" s="24"/>
      <c r="C49" s="24"/>
      <c r="D49" s="24"/>
      <c r="E49" s="25"/>
      <c r="F49" s="25"/>
      <c r="G49" s="25"/>
      <c r="H49" s="25"/>
      <c r="I49" s="25"/>
      <c r="J49" s="25"/>
      <c r="K49" s="25"/>
      <c r="L49" s="25"/>
      <c r="M49" s="25"/>
      <c r="N49" s="25"/>
      <c r="O49" s="25"/>
      <c r="P49" s="25"/>
      <c r="Q49" s="25"/>
      <c r="R49" s="25"/>
      <c r="S49" s="25"/>
      <c r="T49" s="25"/>
      <c r="U49" s="25"/>
      <c r="V49" s="25"/>
      <c r="W49" s="25"/>
      <c r="X49" s="25"/>
      <c r="Y49" s="25"/>
    </row>
    <row r="50" spans="2:25" x14ac:dyDescent="0.25">
      <c r="B50" s="24"/>
      <c r="C50" s="24"/>
      <c r="D50" s="24"/>
      <c r="E50" s="25"/>
      <c r="F50" s="25"/>
      <c r="G50" s="25"/>
      <c r="H50" s="25"/>
      <c r="I50" s="25"/>
      <c r="J50" s="25"/>
      <c r="K50" s="25"/>
      <c r="L50" s="25"/>
      <c r="M50" s="25"/>
      <c r="N50" s="25"/>
      <c r="O50" s="25"/>
      <c r="P50" s="25"/>
      <c r="Q50" s="25"/>
      <c r="R50" s="25"/>
      <c r="S50" s="25"/>
      <c r="T50" s="25"/>
      <c r="U50" s="25"/>
      <c r="V50" s="25"/>
      <c r="W50" s="25"/>
      <c r="X50" s="25"/>
      <c r="Y50" s="25"/>
    </row>
    <row r="51" spans="2:25" x14ac:dyDescent="0.25">
      <c r="B51" s="24"/>
      <c r="C51" s="24"/>
      <c r="D51" s="24"/>
      <c r="E51" s="25"/>
      <c r="F51" s="25"/>
      <c r="G51" s="25"/>
      <c r="H51" s="25"/>
      <c r="I51" s="25"/>
      <c r="J51" s="25"/>
      <c r="K51" s="25"/>
      <c r="L51" s="25"/>
      <c r="M51" s="25"/>
      <c r="N51" s="25"/>
      <c r="O51" s="25"/>
      <c r="P51" s="25"/>
      <c r="Q51" s="25"/>
      <c r="R51" s="25"/>
      <c r="S51" s="25"/>
      <c r="T51" s="25"/>
      <c r="U51" s="25"/>
      <c r="V51" s="25"/>
      <c r="W51" s="25"/>
      <c r="X51" s="25"/>
      <c r="Y51" s="25"/>
    </row>
  </sheetData>
  <mergeCells count="2">
    <mergeCell ref="X8:Y8"/>
    <mergeCell ref="X9:Y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vt:lpstr>
      <vt:lpstr>Sheet2</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2026-01-16T17:52:35Z</dcterms:created>
  <dcterms:modified xsi:type="dcterms:W3CDTF">2026-02-01T20:45:21Z</dcterms:modified>
</cp:coreProperties>
</file>